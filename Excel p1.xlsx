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1F7A28F5-0F9D-47B2-A936-3D1CC4AE2A1B}" xr6:coauthVersionLast="47" xr6:coauthVersionMax="47" xr10:uidLastSave="{00000000-0000-0000-0000-000000000000}"/>
  <workbookProtection workbookAlgorithmName="SHA-512" workbookHashValue="+ZZMylGf3s25ptfXyhwW3QnzoxtoC+EednXZk5+Jlb4lz2JY96k+cpACMws0wuXD9RmVVedIYFvlQvajFNdPMA==" workbookSaltValue="epn2SOsgt7lxGSnR6b1bQQ==" workbookSpinCount="100000" lockStructure="1"/>
  <bookViews>
    <workbookView xWindow="-98" yWindow="-98" windowWidth="21795" windowHeight="13875" xr2:uid="{AD824907-F620-455A-BE5D-BE13FDB86898}"/>
  </bookViews>
  <sheets>
    <sheet name="Sales Data" sheetId="2" r:id="rId1"/>
    <sheet name="XLOOKUP" sheetId="5" r:id="rId2"/>
    <sheet name="XMATCH" sheetId="6" r:id="rId3"/>
    <sheet name="DATE&amp;TIME" sheetId="9" r:id="rId4"/>
    <sheet name="INDIRECT" sheetId="7" r:id="rId5"/>
    <sheet name="MATH" sheetId="10" r:id="rId6"/>
    <sheet name="FILTER" sheetId="11" r:id="rId7"/>
    <sheet name="OFFSET RANGE" sheetId="8" r:id="rId8"/>
    <sheet name="Employee Data" sheetId="4" r:id="rId9"/>
    <sheet name="Students Grade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1" l="1" a="1"/>
  <c r="D2" i="11" s="1"/>
  <c r="E3" i="10"/>
  <c r="E4" i="10"/>
  <c r="E5" i="10"/>
  <c r="E6" i="10"/>
  <c r="E2" i="10"/>
  <c r="F3" i="10"/>
  <c r="F4" i="10"/>
  <c r="F5" i="10"/>
  <c r="F6" i="10"/>
  <c r="F2" i="10"/>
  <c r="D3" i="10"/>
  <c r="D4" i="10"/>
  <c r="D5" i="10"/>
  <c r="D6" i="10"/>
  <c r="D2" i="10"/>
  <c r="F3" i="9"/>
  <c r="F4" i="9"/>
  <c r="F5" i="9"/>
  <c r="F6" i="9"/>
  <c r="F7" i="9"/>
  <c r="F2" i="9"/>
  <c r="E3" i="9"/>
  <c r="E4" i="9"/>
  <c r="E5" i="9"/>
  <c r="E6" i="9"/>
  <c r="E7" i="9"/>
  <c r="E2" i="9"/>
  <c r="B6" i="8"/>
  <c r="D5" i="8" a="1"/>
  <c r="D5" i="8" s="1"/>
  <c r="G5" i="6"/>
  <c r="G3" i="6"/>
  <c r="G4" i="6"/>
  <c r="G6" i="6"/>
  <c r="G2" i="6"/>
  <c r="B11" i="5"/>
  <c r="H15" i="2"/>
  <c r="D2" i="2"/>
  <c r="E2" i="2" s="1"/>
  <c r="H26" i="1" a="1"/>
  <c r="H26" i="1" s="1"/>
  <c r="G26" i="1"/>
  <c r="E3" i="1"/>
  <c r="E4" i="1"/>
  <c r="E5" i="1"/>
  <c r="E6" i="1"/>
  <c r="G6" i="1" s="1"/>
  <c r="E7" i="1"/>
  <c r="E8" i="1"/>
  <c r="G8" i="1" s="1"/>
  <c r="E9" i="1"/>
  <c r="E10" i="1"/>
  <c r="G10" i="1" s="1"/>
  <c r="E11" i="1"/>
  <c r="G11" i="1" s="1"/>
  <c r="E12" i="1"/>
  <c r="F12" i="1" s="1"/>
  <c r="E13" i="1"/>
  <c r="E14" i="1"/>
  <c r="E15" i="1"/>
  <c r="G15" i="1" s="1"/>
  <c r="E16" i="1"/>
  <c r="E17" i="1"/>
  <c r="G17" i="1" s="1"/>
  <c r="E18" i="1"/>
  <c r="E19" i="1"/>
  <c r="F19" i="1" s="1"/>
  <c r="E20" i="1"/>
  <c r="G20" i="1" s="1"/>
  <c r="E21" i="1"/>
  <c r="F3" i="2"/>
  <c r="F5" i="2"/>
  <c r="F6" i="2"/>
  <c r="F8" i="2"/>
  <c r="D5" i="2" s="1"/>
  <c r="E5" i="2" s="1"/>
  <c r="F9" i="2"/>
  <c r="D6" i="2" s="1"/>
  <c r="E6" i="2" s="1"/>
  <c r="F10" i="2"/>
  <c r="D7" i="2" s="1"/>
  <c r="E7" i="2" s="1"/>
  <c r="F11" i="2"/>
  <c r="D8" i="2" s="1"/>
  <c r="E8" i="2" s="1"/>
  <c r="F12" i="2"/>
  <c r="D9" i="2" s="1"/>
  <c r="E9" i="2" s="1"/>
  <c r="F13" i="2"/>
  <c r="D10" i="2" s="1"/>
  <c r="E10" i="2" s="1"/>
  <c r="F14" i="2"/>
  <c r="D11" i="2" s="1"/>
  <c r="E11" i="2" s="1"/>
  <c r="F15" i="2"/>
  <c r="F16" i="2"/>
  <c r="F17" i="2"/>
  <c r="F18" i="2"/>
  <c r="F19" i="2"/>
  <c r="F20" i="2"/>
  <c r="D17" i="2" s="1"/>
  <c r="E17" i="2" s="1"/>
  <c r="F21" i="2"/>
  <c r="D18" i="2" s="1"/>
  <c r="E18" i="2" s="1"/>
  <c r="F2" i="2"/>
  <c r="I9" i="4"/>
  <c r="I10" i="2"/>
  <c r="E21" i="2"/>
  <c r="D12" i="2"/>
  <c r="E12" i="2" s="1"/>
  <c r="D13" i="2"/>
  <c r="E13" i="2" s="1"/>
  <c r="D14" i="2"/>
  <c r="E14" i="2" s="1"/>
  <c r="D15" i="2"/>
  <c r="E15" i="2" s="1"/>
  <c r="D16" i="2"/>
  <c r="E16" i="2" s="1"/>
  <c r="D19" i="2"/>
  <c r="E19" i="2" s="1"/>
  <c r="D20" i="2"/>
  <c r="E20" i="2" s="1"/>
  <c r="D21" i="2"/>
  <c r="D3" i="2"/>
  <c r="E3" i="2" s="1"/>
  <c r="D4" i="2"/>
  <c r="E4" i="2" s="1"/>
  <c r="F1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F7" i="1"/>
  <c r="G7" i="1"/>
  <c r="F8" i="1"/>
  <c r="F4" i="1"/>
  <c r="G4" i="1"/>
  <c r="F9" i="1"/>
  <c r="G9" i="1"/>
  <c r="F3" i="1"/>
  <c r="G3" i="1"/>
  <c r="F5" i="1"/>
  <c r="G5" i="1"/>
  <c r="F16" i="1"/>
  <c r="G16" i="1"/>
  <c r="G18" i="1"/>
  <c r="F18" i="1"/>
  <c r="F21" i="1"/>
  <c r="G21" i="1"/>
  <c r="G13" i="1"/>
  <c r="F13" i="1"/>
  <c r="G14" i="1"/>
  <c r="F14" i="1"/>
  <c r="C5" i="7"/>
  <c r="C3" i="7"/>
  <c r="E2" i="7" a="1"/>
  <c r="C4" i="7"/>
  <c r="C2" i="7"/>
  <c r="C6" i="7"/>
  <c r="E2" i="7" l="1"/>
  <c r="G12" i="1"/>
  <c r="F20" i="1"/>
  <c r="F10" i="1"/>
  <c r="G19" i="1"/>
  <c r="F15" i="1"/>
  <c r="F17" i="1"/>
  <c r="F6" i="1"/>
  <c r="G2" i="1"/>
  <c r="F2" i="1"/>
  <c r="F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<sst xmlns="http://schemas.openxmlformats.org/spreadsheetml/2006/main" count="224" uniqueCount="174">
  <si>
    <t>Student id</t>
  </si>
  <si>
    <t>Student name</t>
  </si>
  <si>
    <t>Maths</t>
  </si>
  <si>
    <t>Science</t>
  </si>
  <si>
    <t>Score</t>
  </si>
  <si>
    <t>Grade</t>
  </si>
  <si>
    <t>Above 80?</t>
  </si>
  <si>
    <t>Vaidehi</t>
  </si>
  <si>
    <t>Megha</t>
  </si>
  <si>
    <t>Jayesh</t>
  </si>
  <si>
    <t>Om</t>
  </si>
  <si>
    <t>Ranjan</t>
  </si>
  <si>
    <t>Dipu</t>
  </si>
  <si>
    <t>Parul</t>
  </si>
  <si>
    <t>Bhumi</t>
  </si>
  <si>
    <t>Naitik</t>
  </si>
  <si>
    <t>Prayag</t>
  </si>
  <si>
    <t>Aayushi</t>
  </si>
  <si>
    <t>Vidisha</t>
  </si>
  <si>
    <t>Dhruvisha</t>
  </si>
  <si>
    <t>Pari</t>
  </si>
  <si>
    <t>Kavit</t>
  </si>
  <si>
    <t>Pratham</t>
  </si>
  <si>
    <t>Omkar</t>
  </si>
  <si>
    <t>Kmakshi</t>
  </si>
  <si>
    <t>Swara</t>
  </si>
  <si>
    <t>satya</t>
  </si>
  <si>
    <t>Math &amp; Science Above 80?</t>
  </si>
  <si>
    <t>Discount</t>
  </si>
  <si>
    <t>Final price</t>
  </si>
  <si>
    <t>Product id</t>
  </si>
  <si>
    <t>Product name</t>
  </si>
  <si>
    <t>Product price</t>
  </si>
  <si>
    <t>laptop</t>
  </si>
  <si>
    <t>fridge</t>
  </si>
  <si>
    <t>washing machine</t>
  </si>
  <si>
    <t>speckar</t>
  </si>
  <si>
    <t>Laptop</t>
  </si>
  <si>
    <t>Mobile</t>
  </si>
  <si>
    <t>Tv</t>
  </si>
  <si>
    <t>Fridge</t>
  </si>
  <si>
    <t>Ac</t>
  </si>
  <si>
    <t>Washing machine</t>
  </si>
  <si>
    <t>Blender</t>
  </si>
  <si>
    <t>Moniter</t>
  </si>
  <si>
    <t>Mouse</t>
  </si>
  <si>
    <t>Cpu</t>
  </si>
  <si>
    <t>Keyboard</t>
  </si>
  <si>
    <t>Printer</t>
  </si>
  <si>
    <t>Headphone</t>
  </si>
  <si>
    <t>Air buds</t>
  </si>
  <si>
    <t>Speckar</t>
  </si>
  <si>
    <t>Tablet</t>
  </si>
  <si>
    <t>Webcam</t>
  </si>
  <si>
    <t>Remote</t>
  </si>
  <si>
    <t>Smartwatch</t>
  </si>
  <si>
    <t>Powerbank</t>
  </si>
  <si>
    <t xml:space="preserve">Product id </t>
  </si>
  <si>
    <t>=VLOOKUP(I8;A2:E21;3;FALSE)</t>
  </si>
  <si>
    <t>Column1</t>
  </si>
  <si>
    <t>Column2</t>
  </si>
  <si>
    <t>Employee id</t>
  </si>
  <si>
    <t>Employee name</t>
  </si>
  <si>
    <t>Department</t>
  </si>
  <si>
    <t>Salary</t>
  </si>
  <si>
    <t>Month</t>
  </si>
  <si>
    <t>IT</t>
  </si>
  <si>
    <t>HR</t>
  </si>
  <si>
    <t>MARKETING</t>
  </si>
  <si>
    <t>SALES</t>
  </si>
  <si>
    <t xml:space="preserve">IT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</si>
  <si>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</si>
  <si>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</si>
  <si>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</si>
  <si>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</si>
  <si>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</si>
  <si>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</si>
  <si>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</si>
  <si>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</si>
  <si>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</si>
  <si>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</si>
  <si>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</si>
  <si>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</si>
  <si>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VAIDEHI</t>
  </si>
  <si>
    <t>MEGHA</t>
  </si>
  <si>
    <t>JAYESH</t>
  </si>
  <si>
    <t>OM</t>
  </si>
  <si>
    <t>DIPU</t>
  </si>
  <si>
    <t>PARUL</t>
  </si>
  <si>
    <t>RANJAN</t>
  </si>
  <si>
    <t>VIDISHA</t>
  </si>
  <si>
    <t>KAVIT</t>
  </si>
  <si>
    <t>OPRAYAG</t>
  </si>
  <si>
    <t>AAYUSHI</t>
  </si>
  <si>
    <t>JANVI</t>
  </si>
  <si>
    <t>JANKI</t>
  </si>
  <si>
    <t>JENSHI</t>
  </si>
  <si>
    <t>VAIBHAVI</t>
  </si>
  <si>
    <t>VAISHANVI</t>
  </si>
  <si>
    <t>VILASH</t>
  </si>
  <si>
    <t>VIBHUTI</t>
  </si>
  <si>
    <t>VIKRAM</t>
  </si>
  <si>
    <t>VYOMI</t>
  </si>
  <si>
    <t>XLOOKUP</t>
  </si>
  <si>
    <t>Joining Date</t>
  </si>
  <si>
    <t>Discount Eligible?</t>
  </si>
  <si>
    <t>COUNTIFS</t>
  </si>
  <si>
    <t>AVERAGEIFS</t>
  </si>
  <si>
    <t>FILTER</t>
  </si>
  <si>
    <t>EMPLOYEE</t>
  </si>
  <si>
    <t>SUMIFS</t>
  </si>
  <si>
    <t>INDEX</t>
  </si>
  <si>
    <t>MATCH</t>
  </si>
  <si>
    <t>PRODUCT ID</t>
  </si>
  <si>
    <t>ID</t>
  </si>
  <si>
    <t>NAME</t>
  </si>
  <si>
    <t>INPUT</t>
  </si>
  <si>
    <t>OUTPUT</t>
  </si>
  <si>
    <t>VEDANT</t>
  </si>
  <si>
    <t>LAPTOP</t>
  </si>
  <si>
    <t>CPU</t>
  </si>
  <si>
    <t>MOUSE</t>
  </si>
  <si>
    <t>KEYBOARD</t>
  </si>
  <si>
    <t>MOBILE</t>
  </si>
  <si>
    <t>PRODUCT PRICE</t>
  </si>
  <si>
    <t>COMPANY</t>
  </si>
  <si>
    <t>XPS</t>
  </si>
  <si>
    <t>AMD</t>
  </si>
  <si>
    <t>DELL</t>
  </si>
  <si>
    <t>GOGGLE</t>
  </si>
  <si>
    <t>HP</t>
  </si>
  <si>
    <t>PRODUCT NAME</t>
  </si>
  <si>
    <t>HOW TO BUY ONLINNE OR CASH ON DELIERY</t>
  </si>
  <si>
    <t>TV</t>
  </si>
  <si>
    <t>SPECKAR</t>
  </si>
  <si>
    <t>FRIDGER</t>
  </si>
  <si>
    <t>WASHING MACHINE</t>
  </si>
  <si>
    <t>ONLINE</t>
  </si>
  <si>
    <t>OFFLINE</t>
  </si>
  <si>
    <t>ANSWER</t>
  </si>
  <si>
    <t>FINAL  PRICE</t>
  </si>
  <si>
    <t>xmatch funcation</t>
  </si>
  <si>
    <t>product</t>
  </si>
  <si>
    <t>sales</t>
  </si>
  <si>
    <t>dj</t>
  </si>
  <si>
    <t>INDIRECT</t>
  </si>
  <si>
    <t>DYNAMIC CELL REFERANCE</t>
  </si>
  <si>
    <t>DYANAMIC OUTPUT</t>
  </si>
  <si>
    <t>MONTH</t>
  </si>
  <si>
    <t>MARCH</t>
  </si>
  <si>
    <t>MAY</t>
  </si>
  <si>
    <t>TOTAL SALES</t>
  </si>
  <si>
    <t>JAN</t>
  </si>
  <si>
    <t>FAB</t>
  </si>
  <si>
    <t>APR</t>
  </si>
  <si>
    <t>JUN</t>
  </si>
  <si>
    <t>JUL</t>
  </si>
  <si>
    <t xml:space="preserve">SALES </t>
  </si>
  <si>
    <t>STUDENT NAME</t>
  </si>
  <si>
    <t>DOB</t>
  </si>
  <si>
    <t>AGE</t>
  </si>
  <si>
    <t>START DATE</t>
  </si>
  <si>
    <t>END DATE</t>
  </si>
  <si>
    <t>DAYS DIFFRENCE</t>
  </si>
  <si>
    <t>HEADPHONE</t>
  </si>
  <si>
    <t>ROUND</t>
  </si>
  <si>
    <t>CELLING</t>
  </si>
  <si>
    <t>FLOOR</t>
  </si>
  <si>
    <t>SMARTWATCH</t>
  </si>
  <si>
    <t>STUDENT ID</t>
  </si>
  <si>
    <t>SCORE</t>
  </si>
  <si>
    <t>TOP STUDENT</t>
  </si>
  <si>
    <t>YES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</si>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</sst>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9">
    <font>
      <sz val="11"/>
      <color theme="1"/>
      <name val="Calibri"/>
      <family val="2"/>
      <scheme val="minor"/>
    </font>
    <font>
      <sz val="14"/>
      <color theme="1"/>
      <name val="Imprint MT Shadow"/>
      <family val="5"/>
    </font>
    <font>
      <sz val="14"/>
      <color rgb="FFC00000"/>
      <name val="Imprint MT Shadow"/>
      <family val="5"/>
    </font>
    <font>
      <b/>
      <sz val="18"/>
      <color theme="1"/>
      <name val="Imprint MT Shadow"/>
      <family val="5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9" tint="-0.499984740745262"/>
      <name val="Sitka Small"/>
    </font>
    <font>
      <b/>
      <i/>
      <sz val="18"/>
      <color theme="5" tint="-0.249977111117893"/>
      <name val="Sitka Small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lgerian"/>
      <family val="5"/>
    </font>
    <font>
      <b/>
      <sz val="20"/>
      <color theme="1"/>
      <name val="Centaur"/>
      <family val="1"/>
    </font>
    <font>
      <b/>
      <sz val="14"/>
      <color theme="9" tint="-0.249977111117893"/>
      <name val="Corbel Light"/>
      <family val="2"/>
    </font>
    <font>
      <sz val="20"/>
      <color theme="1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8"/>
      <color theme="5" tint="-0.249977111117893"/>
      <name val="Calibri"/>
      <family val="2"/>
      <scheme val="minor"/>
    </font>
    <font>
      <i/>
      <sz val="12"/>
      <color theme="1"/>
      <name val="SitIKA SMALL"/>
    </font>
    <font>
      <i/>
      <sz val="12"/>
      <color theme="9" tint="-0.499984740745262"/>
      <name val="Calibri"/>
      <family val="2"/>
      <scheme val="minor"/>
    </font>
    <font>
      <sz val="20"/>
      <color theme="7" tint="-0.249977111117893"/>
      <name val="Calibri"/>
      <family val="2"/>
      <scheme val="minor"/>
    </font>
    <font>
      <sz val="16"/>
      <color theme="1"/>
      <name val="Century"/>
      <family val="1"/>
    </font>
    <font>
      <sz val="22"/>
      <color theme="1"/>
      <name val="Calibri"/>
      <family val="2"/>
      <scheme val="minor"/>
    </font>
    <font>
      <b/>
      <sz val="16"/>
      <color theme="1"/>
      <name val="Bell MT"/>
      <family val="1"/>
    </font>
    <font>
      <sz val="20"/>
      <color theme="5" tint="-0.249977111117893"/>
      <name val="Bahnschrift Light"/>
      <family val="2"/>
    </font>
    <font>
      <b/>
      <sz val="14"/>
      <color theme="6" tint="-0.499984740745262"/>
      <name val="Bell MT"/>
      <family val="1"/>
    </font>
    <font>
      <b/>
      <sz val="14"/>
      <color theme="3" tint="-0.499984740745262"/>
      <name val="Bell MT"/>
      <family val="1"/>
    </font>
    <font>
      <sz val="11"/>
      <color theme="5" tint="-0.249977111117893"/>
      <name val="Calibri"/>
      <family val="2"/>
      <scheme val="minor"/>
    </font>
    <font>
      <sz val="18"/>
      <color theme="3" tint="0.39997558519241921"/>
      <name val="Bahnschrift"/>
      <family val="2"/>
    </font>
    <font>
      <b/>
      <sz val="18"/>
      <color theme="3" tint="0.39997558519241921"/>
      <name val="Bahnschrift"/>
      <family val="2"/>
    </font>
    <font>
      <b/>
      <sz val="18"/>
      <color theme="3" tint="0.39997558519241921"/>
      <name val="Calibri"/>
      <family val="2"/>
      <scheme val="minor"/>
    </font>
    <font>
      <sz val="16"/>
      <color theme="1"/>
      <name val="Bahnschrift SemiLight Condensed"/>
      <family val="2"/>
    </font>
    <font>
      <sz val="16"/>
      <color theme="1" tint="4.9989318521683403E-2"/>
      <name val="Bahnschrift SemiLight Condensed"/>
      <family val="2"/>
    </font>
    <font>
      <sz val="16"/>
      <color theme="1"/>
      <name val="Bodoni MT"/>
      <family val="1"/>
    </font>
    <font>
      <sz val="18"/>
      <color theme="1"/>
      <name val="Bodoni MT"/>
      <family val="1"/>
    </font>
    <font>
      <sz val="11"/>
      <color theme="1"/>
      <name val="Ebrima"/>
    </font>
    <font>
      <sz val="14"/>
      <color theme="1"/>
      <name val="Bahnschrift SemiLight Condensed"/>
      <family val="2"/>
    </font>
    <font>
      <b/>
      <sz val="14"/>
      <color theme="1"/>
      <name val="Bahnschrift SemiLight Condensed"/>
      <family val="2"/>
    </font>
    <font>
      <b/>
      <sz val="16"/>
      <color theme="1"/>
      <name val="Felix Titling"/>
      <family val="5"/>
    </font>
    <font>
      <b/>
      <sz val="16"/>
      <color rgb="FF00B0F0"/>
      <name val="Felix Titling"/>
      <family val="5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/>
    <xf numFmtId="0" fontId="4" fillId="0" borderId="0" xfId="0" applyFont="1"/>
    <xf numFmtId="0" fontId="0" fillId="0" borderId="1" xfId="0" applyBorder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10" fillId="0" borderId="0" xfId="0" applyFont="1"/>
    <xf numFmtId="0" fontId="11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0" borderId="1" xfId="0" applyFont="1" applyBorder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2" fillId="3" borderId="1" xfId="0" applyFont="1" applyFill="1" applyBorder="1" applyAlignment="1">
      <alignment horizontal="center"/>
    </xf>
    <xf numFmtId="0" fontId="16" fillId="0" borderId="1" xfId="0" applyFont="1" applyBorder="1"/>
    <xf numFmtId="0" fontId="13" fillId="2" borderId="1" xfId="0" applyFont="1" applyFill="1" applyBorder="1"/>
    <xf numFmtId="0" fontId="15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20" fillId="0" borderId="0" xfId="0" applyFont="1"/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20" fillId="0" borderId="1" xfId="0" applyFont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49" fontId="1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14" fontId="14" fillId="3" borderId="1" xfId="0" applyNumberFormat="1" applyFont="1" applyFill="1" applyBorder="1" applyAlignment="1">
      <alignment vertical="center" wrapText="1"/>
    </xf>
    <xf numFmtId="0" fontId="22" fillId="4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4" fillId="7" borderId="1" xfId="0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1" fillId="0" borderId="0" xfId="0" applyFont="1"/>
    <xf numFmtId="0" fontId="26" fillId="7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/>
    <xf numFmtId="0" fontId="28" fillId="0" borderId="6" xfId="0" applyFont="1" applyBorder="1"/>
    <xf numFmtId="0" fontId="29" fillId="0" borderId="10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10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14" fontId="32" fillId="0" borderId="10" xfId="0" applyNumberFormat="1" applyFont="1" applyBorder="1" applyAlignment="1">
      <alignment horizontal="center"/>
    </xf>
    <xf numFmtId="0" fontId="34" fillId="0" borderId="0" xfId="0" applyFont="1"/>
    <xf numFmtId="0" fontId="35" fillId="0" borderId="10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26" fillId="0" borderId="1" xfId="0" applyFont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mprint MT Shadow"/>
        <family val="5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Imprint MT Shadow"/>
        <family val="5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23CA0A-C5E6-44B3-9BAB-4C063923A42C}" name="Table2" displayName="Table2" ref="H8:I10" totalsRowShown="0" headerRowDxfId="16" dataDxfId="15">
  <autoFilter ref="H8:I10" xr:uid="{1723CA0A-C5E6-44B3-9BAB-4C063923A42C}"/>
  <tableColumns count="2">
    <tableColumn id="1" xr3:uid="{FA1811F2-D3D9-4AEF-9FC0-BAB661DA9BC8}" name="Column1" dataDxfId="14"/>
    <tableColumn id="2" xr3:uid="{E856F641-AAD9-4F61-B9C0-4DCD5635EC84}" name="Column2" dataDxfId="13">
      <calculatedColumnFormula>VLOOKUP(I8,A1:E20,3,FALSE)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5C808-9BFC-446D-903C-4CC0175240D9}" name="Table1" displayName="Table1" ref="A1:H21" totalsRowShown="0" headerRowDxfId="12" dataDxfId="10" headerRowBorderDxfId="11" tableBorderDxfId="9" totalsRowBorderDxfId="8">
  <autoFilter ref="A1:H21" xr:uid="{1BA5C808-9BFC-446D-903C-4CC0175240D9}"/>
  <tableColumns count="8">
    <tableColumn id="1" xr3:uid="{C737360A-3427-4AA1-ACAB-E6EAD43BA20E}" name="Student id" dataDxfId="7"/>
    <tableColumn id="2" xr3:uid="{34200D63-52BF-4C24-8CA9-FD902EABCB02}" name="Student name" dataDxfId="6"/>
    <tableColumn id="3" xr3:uid="{58E9C5AD-BC48-4710-ADD1-9AD8E241941A}" name="Maths" dataDxfId="5"/>
    <tableColumn id="4" xr3:uid="{A15FF5E2-348C-46F0-9B38-CA331205CC96}" name="Science" dataDxfId="4"/>
    <tableColumn id="5" xr3:uid="{F0FE34EC-CB0E-41BC-B23F-9621F70060FC}" name="Score" dataDxfId="3">
      <calculatedColumnFormula>AVERAGE(C2:D2)</calculatedColumnFormula>
    </tableColumn>
    <tableColumn id="6" xr3:uid="{8A596D2F-3F86-4074-A4EF-4E9FA8A802C0}" name="Grade" dataDxfId="2">
      <calculatedColumnFormula>IF(E2&gt;=90,"A",IF(E2&gt;=80,"B",IF(E2&gt;=70,"C",IF(E2&gt;=60,"D",IF(E2&gt;=50,"E",IF(E2&gt;=40,"F","Fail"))))))</calculatedColumnFormula>
    </tableColumn>
    <tableColumn id="7" xr3:uid="{D2182CFE-B181-45C4-B61A-FB679D3BC0C7}" name="Above 80?" dataDxfId="1">
      <calculatedColumnFormula>IF(E2&gt;80,"Yes","No")</calculatedColumnFormula>
    </tableColumn>
    <tableColumn id="8" xr3:uid="{696DD799-F794-4861-A8CC-AA51E529D66E}" name="Math &amp; Science Above 80?" dataDxfId="0">
      <calculatedColumnFormula>IF(AND(C2&gt;80,D2&gt;80),"OK","NOT OK")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A37D-4CAE-471F-881A-1FDDC9CC30CB}">
  <dimension ref="A1:O41"/>
  <sheetViews>
    <sheetView tabSelected="1" zoomScale="73" workbookViewId="0">
      <selection activeCell="I19" sqref="I19"/>
    </sheetView>
  </sheetViews>
  <sheetFormatPr defaultRowHeight="14.25"/>
  <cols>
    <col min="1" max="1" width="19.6640625" customWidth="1"/>
    <col min="2" max="2" width="28.59765625" customWidth="1"/>
    <col min="3" max="3" width="27.3984375" customWidth="1"/>
    <col min="4" max="4" width="24.73046875" customWidth="1"/>
    <col min="5" max="5" width="22.19921875" customWidth="1"/>
    <col min="6" max="6" width="23.1328125" customWidth="1"/>
    <col min="8" max="8" width="18.265625" customWidth="1"/>
    <col min="9" max="9" width="17.73046875" customWidth="1"/>
  </cols>
  <sheetData>
    <row r="1" spans="1:15" ht="28.9">
      <c r="A1" s="19" t="s">
        <v>30</v>
      </c>
      <c r="B1" s="19" t="s">
        <v>31</v>
      </c>
      <c r="C1" s="19" t="s">
        <v>32</v>
      </c>
      <c r="D1" s="19" t="s">
        <v>28</v>
      </c>
      <c r="E1" s="19" t="s">
        <v>29</v>
      </c>
      <c r="F1" s="29" t="s">
        <v>105</v>
      </c>
    </row>
    <row r="2" spans="1:15" ht="22.15">
      <c r="A2" s="18">
        <v>201</v>
      </c>
      <c r="B2" s="18" t="s">
        <v>37</v>
      </c>
      <c r="C2" s="18">
        <v>300</v>
      </c>
      <c r="D2" s="18">
        <f>IF(C2&gt;=F5,C2*50%,IF(C2&gt;=5000,C2*20%,0))</f>
        <v>0</v>
      </c>
      <c r="E2" s="18">
        <f>C2-D2</f>
        <v>300</v>
      </c>
      <c r="F2" s="32" t="str">
        <f>IF(C2&gt;=5000,"YES","NO")</f>
        <v>NO</v>
      </c>
      <c r="H2" s="42" t="s">
        <v>110</v>
      </c>
    </row>
    <row r="3" spans="1:15" ht="22.15">
      <c r="A3" s="18">
        <v>202</v>
      </c>
      <c r="B3" s="18" t="s">
        <v>38</v>
      </c>
      <c r="C3" s="18">
        <v>3400</v>
      </c>
      <c r="D3" s="18">
        <f t="shared" ref="D3:D21" si="0">IF(C3&gt;=F6,C3*50%,IF(C3&gt;=5000,C3*20%,0))</f>
        <v>0</v>
      </c>
      <c r="E3" s="18">
        <f t="shared" ref="E3:E21" si="1">C3-D3</f>
        <v>3400</v>
      </c>
      <c r="F3" s="32" t="str">
        <f t="shared" ref="F3:F21" si="2">IF(C3&gt;=5000,"YES","NO")</f>
        <v>NO</v>
      </c>
      <c r="H3" s="42">
        <v>300</v>
      </c>
    </row>
    <row r="4" spans="1:15" ht="19.899999999999999">
      <c r="A4" s="18">
        <v>203</v>
      </c>
      <c r="B4" s="18" t="s">
        <v>39</v>
      </c>
      <c r="C4" s="18">
        <v>2500</v>
      </c>
      <c r="D4" s="18">
        <f t="shared" si="0"/>
        <v>0</v>
      </c>
      <c r="E4" s="18">
        <f t="shared" si="1"/>
        <v>2500</v>
      </c>
      <c r="F4" s="32" t="s">
        <v>172</v>
      </c>
      <c r="O4" t="s">
        <v>58</v>
      </c>
    </row>
    <row r="5" spans="1:15" ht="19.899999999999999">
      <c r="A5" s="18">
        <v>204</v>
      </c>
      <c r="B5" s="18" t="s">
        <v>40</v>
      </c>
      <c r="C5" s="18">
        <v>6700</v>
      </c>
      <c r="D5" s="18">
        <f t="shared" si="0"/>
        <v>1340</v>
      </c>
      <c r="E5" s="18">
        <f t="shared" si="1"/>
        <v>5360</v>
      </c>
      <c r="F5" s="32" t="str">
        <f t="shared" si="2"/>
        <v>YES</v>
      </c>
    </row>
    <row r="6" spans="1:15" ht="19.899999999999999">
      <c r="A6" s="18">
        <v>205</v>
      </c>
      <c r="B6" s="18" t="s">
        <v>41</v>
      </c>
      <c r="C6" s="18">
        <v>8000</v>
      </c>
      <c r="D6" s="18">
        <f t="shared" si="0"/>
        <v>1600</v>
      </c>
      <c r="E6" s="18">
        <f t="shared" si="1"/>
        <v>6400</v>
      </c>
      <c r="F6" s="32" t="str">
        <f t="shared" si="2"/>
        <v>YES</v>
      </c>
    </row>
    <row r="7" spans="1:15" ht="19.899999999999999">
      <c r="A7" s="18">
        <v>206</v>
      </c>
      <c r="B7" s="18" t="s">
        <v>42</v>
      </c>
      <c r="C7" s="18">
        <v>9000</v>
      </c>
      <c r="D7" s="18">
        <f t="shared" si="0"/>
        <v>1800</v>
      </c>
      <c r="E7" s="18">
        <f t="shared" si="1"/>
        <v>7200</v>
      </c>
      <c r="F7" s="32" t="s">
        <v>172</v>
      </c>
    </row>
    <row r="8" spans="1:15" ht="22.15">
      <c r="A8" s="18">
        <v>207</v>
      </c>
      <c r="B8" s="18" t="s">
        <v>43</v>
      </c>
      <c r="C8" s="18">
        <v>6000</v>
      </c>
      <c r="D8" s="18">
        <f t="shared" si="0"/>
        <v>1200</v>
      </c>
      <c r="E8" s="18">
        <f t="shared" si="1"/>
        <v>4800</v>
      </c>
      <c r="F8" s="32" t="str">
        <f t="shared" si="2"/>
        <v>YES</v>
      </c>
      <c r="H8" s="17" t="s">
        <v>59</v>
      </c>
      <c r="I8" s="17" t="s">
        <v>60</v>
      </c>
    </row>
    <row r="9" spans="1:15" ht="22.15">
      <c r="A9" s="18">
        <v>208</v>
      </c>
      <c r="B9" s="18" t="s">
        <v>44</v>
      </c>
      <c r="C9" s="18">
        <v>5600</v>
      </c>
      <c r="D9" s="18">
        <f t="shared" si="0"/>
        <v>1120</v>
      </c>
      <c r="E9" s="18">
        <f t="shared" si="1"/>
        <v>4480</v>
      </c>
      <c r="F9" s="32" t="str">
        <f t="shared" si="2"/>
        <v>YES</v>
      </c>
      <c r="H9" s="17" t="s">
        <v>57</v>
      </c>
      <c r="I9" s="17">
        <v>213</v>
      </c>
    </row>
    <row r="10" spans="1:15" ht="22.15">
      <c r="A10" s="18">
        <v>209</v>
      </c>
      <c r="B10" s="18" t="s">
        <v>45</v>
      </c>
      <c r="C10" s="18">
        <v>6700</v>
      </c>
      <c r="D10" s="18">
        <f t="shared" si="0"/>
        <v>1340</v>
      </c>
      <c r="E10" s="18">
        <f t="shared" si="1"/>
        <v>5360</v>
      </c>
      <c r="F10" s="32" t="str">
        <f t="shared" si="2"/>
        <v>YES</v>
      </c>
      <c r="H10" s="17" t="s">
        <v>32</v>
      </c>
      <c r="I10" s="17">
        <f>VLOOKUP(I9,A2:E21,3,FALSE)</f>
        <v>3400</v>
      </c>
    </row>
    <row r="11" spans="1:15" ht="19.899999999999999">
      <c r="A11" s="18">
        <v>210</v>
      </c>
      <c r="B11" s="18" t="s">
        <v>46</v>
      </c>
      <c r="C11" s="18">
        <v>8700</v>
      </c>
      <c r="D11" s="18">
        <f t="shared" si="0"/>
        <v>1740</v>
      </c>
      <c r="E11" s="18">
        <f t="shared" si="1"/>
        <v>6960</v>
      </c>
      <c r="F11" s="32" t="str">
        <f t="shared" si="2"/>
        <v>YES</v>
      </c>
    </row>
    <row r="12" spans="1:15" ht="19.899999999999999">
      <c r="A12" s="18">
        <v>211</v>
      </c>
      <c r="B12" s="18" t="s">
        <v>47</v>
      </c>
      <c r="C12" s="18">
        <v>4500</v>
      </c>
      <c r="D12" s="18">
        <f t="shared" si="0"/>
        <v>0</v>
      </c>
      <c r="E12" s="18">
        <f t="shared" si="1"/>
        <v>4500</v>
      </c>
      <c r="F12" s="32" t="str">
        <f t="shared" si="2"/>
        <v>NO</v>
      </c>
    </row>
    <row r="13" spans="1:15" ht="19.899999999999999">
      <c r="A13" s="18">
        <v>212</v>
      </c>
      <c r="B13" s="18" t="s">
        <v>48</v>
      </c>
      <c r="C13" s="18">
        <v>5690</v>
      </c>
      <c r="D13" s="18">
        <f t="shared" si="0"/>
        <v>1138</v>
      </c>
      <c r="E13" s="18">
        <f t="shared" si="1"/>
        <v>4552</v>
      </c>
      <c r="F13" s="32" t="str">
        <f t="shared" si="2"/>
        <v>YES</v>
      </c>
    </row>
    <row r="14" spans="1:15" ht="25.9">
      <c r="A14" s="18">
        <v>213</v>
      </c>
      <c r="B14" s="18" t="s">
        <v>49</v>
      </c>
      <c r="C14" s="18">
        <v>3400</v>
      </c>
      <c r="D14" s="18">
        <f t="shared" si="0"/>
        <v>0</v>
      </c>
      <c r="E14" s="18">
        <f t="shared" si="1"/>
        <v>3400</v>
      </c>
      <c r="F14" s="32" t="str">
        <f t="shared" si="2"/>
        <v>NO</v>
      </c>
      <c r="H14" s="43" t="s">
        <v>111</v>
      </c>
      <c r="I14" s="43" t="s">
        <v>112</v>
      </c>
    </row>
    <row r="15" spans="1:15" ht="25.9">
      <c r="A15" s="18">
        <v>214</v>
      </c>
      <c r="B15" s="18" t="s">
        <v>50</v>
      </c>
      <c r="C15" s="18">
        <v>4560</v>
      </c>
      <c r="D15" s="18">
        <f t="shared" si="0"/>
        <v>0</v>
      </c>
      <c r="E15" s="18">
        <f t="shared" si="1"/>
        <v>4560</v>
      </c>
      <c r="F15" s="32" t="str">
        <f t="shared" si="2"/>
        <v>NO</v>
      </c>
      <c r="H15" s="43">
        <f>INDEX($C$2:$C$21,MATCH(218,$A$2:$A$21,0))</f>
        <v>3400</v>
      </c>
      <c r="I15" s="43">
        <v>208</v>
      </c>
    </row>
    <row r="16" spans="1:15" ht="19.899999999999999">
      <c r="A16" s="18">
        <v>215</v>
      </c>
      <c r="B16" s="18" t="s">
        <v>51</v>
      </c>
      <c r="C16" s="18">
        <v>6000</v>
      </c>
      <c r="D16" s="18">
        <f t="shared" si="0"/>
        <v>1200</v>
      </c>
      <c r="E16" s="18">
        <f t="shared" si="1"/>
        <v>4800</v>
      </c>
      <c r="F16" s="32" t="str">
        <f t="shared" si="2"/>
        <v>YES</v>
      </c>
    </row>
    <row r="17" spans="1:6" ht="19.899999999999999">
      <c r="A17" s="18">
        <v>216</v>
      </c>
      <c r="B17" s="18" t="s">
        <v>52</v>
      </c>
      <c r="C17" s="18">
        <v>4500</v>
      </c>
      <c r="D17" s="18">
        <f t="shared" si="0"/>
        <v>0</v>
      </c>
      <c r="E17" s="18">
        <f t="shared" si="1"/>
        <v>4500</v>
      </c>
      <c r="F17" s="32" t="str">
        <f t="shared" si="2"/>
        <v>NO</v>
      </c>
    </row>
    <row r="18" spans="1:6" ht="19.899999999999999">
      <c r="A18" s="18">
        <v>217</v>
      </c>
      <c r="B18" s="18" t="s">
        <v>53</v>
      </c>
      <c r="C18" s="18">
        <v>3500</v>
      </c>
      <c r="D18" s="18">
        <f t="shared" si="0"/>
        <v>0</v>
      </c>
      <c r="E18" s="18">
        <f t="shared" si="1"/>
        <v>3500</v>
      </c>
      <c r="F18" s="32" t="str">
        <f t="shared" si="2"/>
        <v>NO</v>
      </c>
    </row>
    <row r="19" spans="1:6" ht="19.899999999999999">
      <c r="A19" s="18">
        <v>218</v>
      </c>
      <c r="B19" s="18" t="s">
        <v>54</v>
      </c>
      <c r="C19" s="18">
        <v>3400</v>
      </c>
      <c r="D19" s="18">
        <f t="shared" si="0"/>
        <v>1700</v>
      </c>
      <c r="E19" s="18">
        <f t="shared" si="1"/>
        <v>1700</v>
      </c>
      <c r="F19" s="32" t="str">
        <f t="shared" si="2"/>
        <v>NO</v>
      </c>
    </row>
    <row r="20" spans="1:6" ht="19.899999999999999">
      <c r="A20" s="18">
        <v>219</v>
      </c>
      <c r="B20" s="18" t="s">
        <v>55</v>
      </c>
      <c r="C20" s="18">
        <v>6700</v>
      </c>
      <c r="D20" s="18">
        <f t="shared" si="0"/>
        <v>3350</v>
      </c>
      <c r="E20" s="18">
        <f t="shared" si="1"/>
        <v>3350</v>
      </c>
      <c r="F20" s="32" t="str">
        <f t="shared" si="2"/>
        <v>YES</v>
      </c>
    </row>
    <row r="21" spans="1:6" ht="19.899999999999999">
      <c r="A21" s="18">
        <v>220</v>
      </c>
      <c r="B21" s="18" t="s">
        <v>56</v>
      </c>
      <c r="C21" s="18">
        <v>3450</v>
      </c>
      <c r="D21" s="18">
        <f t="shared" si="0"/>
        <v>1725</v>
      </c>
      <c r="E21" s="18">
        <f t="shared" si="1"/>
        <v>1725</v>
      </c>
      <c r="F21" s="32" t="str">
        <f t="shared" si="2"/>
        <v>NO</v>
      </c>
    </row>
    <row r="22" spans="1:6" ht="15.75">
      <c r="A22" s="33"/>
      <c r="B22" s="33"/>
      <c r="C22" s="33"/>
      <c r="D22" s="33"/>
      <c r="E22" s="33"/>
      <c r="F22" s="32"/>
    </row>
    <row r="23" spans="1:6" ht="15.75">
      <c r="A23" s="33"/>
      <c r="B23" s="33"/>
      <c r="C23" s="33"/>
      <c r="D23" s="33"/>
      <c r="E23" s="33"/>
      <c r="F23" s="32"/>
    </row>
    <row r="24" spans="1:6">
      <c r="A24" s="15"/>
      <c r="B24" s="15"/>
      <c r="C24" s="15"/>
      <c r="D24" s="15"/>
      <c r="E24" s="15"/>
      <c r="F24" s="15"/>
    </row>
    <row r="25" spans="1:6">
      <c r="A25" s="15"/>
      <c r="B25" s="15"/>
      <c r="C25" s="15"/>
      <c r="D25" s="15"/>
      <c r="E25" s="15"/>
      <c r="F25" s="15"/>
    </row>
    <row r="26" spans="1:6">
      <c r="A26" s="15"/>
      <c r="B26" s="15"/>
      <c r="C26" s="15"/>
      <c r="D26" s="15"/>
      <c r="E26" s="15"/>
      <c r="F26" s="15"/>
    </row>
    <row r="27" spans="1:6">
      <c r="A27" s="15"/>
      <c r="B27" s="15"/>
      <c r="C27" s="15"/>
      <c r="D27" s="15"/>
      <c r="E27" s="15"/>
      <c r="F27" s="15"/>
    </row>
    <row r="28" spans="1:6">
      <c r="A28" s="15"/>
      <c r="B28" s="15"/>
      <c r="C28" s="15"/>
      <c r="D28" s="15"/>
      <c r="E28" s="15"/>
      <c r="F28" s="15"/>
    </row>
    <row r="29" spans="1:6">
      <c r="A29" s="15"/>
      <c r="B29" s="15"/>
      <c r="C29" s="15"/>
      <c r="D29" s="15"/>
      <c r="E29" s="15"/>
      <c r="F29" s="15"/>
    </row>
    <row r="30" spans="1:6">
      <c r="A30" s="15"/>
      <c r="B30" s="15"/>
      <c r="C30" s="15"/>
      <c r="D30" s="15"/>
      <c r="E30" s="15"/>
      <c r="F30" s="15"/>
    </row>
    <row r="31" spans="1:6">
      <c r="A31" s="15"/>
      <c r="B31" s="15"/>
      <c r="C31" s="15"/>
      <c r="D31" s="15"/>
      <c r="E31" s="15"/>
      <c r="F31" s="15"/>
    </row>
    <row r="32" spans="1:6">
      <c r="A32" s="15"/>
      <c r="B32" s="15"/>
      <c r="C32" s="15"/>
      <c r="D32" s="15"/>
      <c r="E32" s="15"/>
      <c r="F32" s="15"/>
    </row>
    <row r="33" spans="1:6">
      <c r="A33" s="15"/>
      <c r="B33" s="15"/>
      <c r="C33" s="15"/>
      <c r="D33" s="15"/>
      <c r="E33" s="15"/>
      <c r="F33" s="15"/>
    </row>
    <row r="34" spans="1:6">
      <c r="A34" s="15"/>
      <c r="B34" s="15"/>
      <c r="C34" s="15"/>
      <c r="D34" s="15"/>
      <c r="E34" s="15"/>
      <c r="F34" s="15"/>
    </row>
    <row r="35" spans="1:6">
      <c r="A35" s="15"/>
      <c r="B35" s="15"/>
      <c r="C35" s="15"/>
      <c r="D35" s="15"/>
      <c r="E35" s="15"/>
      <c r="F35" s="15"/>
    </row>
    <row r="36" spans="1:6">
      <c r="A36" s="15"/>
      <c r="B36" s="15"/>
      <c r="C36" s="15"/>
      <c r="D36" s="15"/>
      <c r="E36" s="15"/>
      <c r="F36" s="15"/>
    </row>
    <row r="37" spans="1:6">
      <c r="A37" s="15"/>
      <c r="B37" s="15"/>
      <c r="C37" s="15"/>
      <c r="D37" s="15"/>
      <c r="E37" s="15"/>
      <c r="F37" s="15"/>
    </row>
    <row r="38" spans="1:6">
      <c r="A38" s="15"/>
      <c r="B38" s="15"/>
      <c r="C38" s="15"/>
      <c r="D38" s="15"/>
      <c r="E38" s="15"/>
      <c r="F38" s="15"/>
    </row>
    <row r="39" spans="1:6">
      <c r="A39" s="15"/>
      <c r="B39" s="15"/>
      <c r="C39" s="15"/>
      <c r="D39" s="15"/>
      <c r="E39" s="15"/>
      <c r="F39" s="15"/>
    </row>
    <row r="40" spans="1:6">
      <c r="A40" s="15"/>
      <c r="B40" s="15"/>
      <c r="C40" s="15"/>
      <c r="D40" s="15"/>
      <c r="E40" s="15"/>
      <c r="F40" s="15"/>
    </row>
    <row r="41" spans="1:6">
      <c r="A41" s="15"/>
      <c r="B41" s="15"/>
      <c r="C41" s="15"/>
      <c r="D41" s="15"/>
      <c r="E41" s="15"/>
      <c r="F41" s="15"/>
    </row>
  </sheetData>
  <sheetProtection algorithmName="SHA-512" hashValue="uYRdOyHd2ysIUz081TnkIqT3hUmGtTQhHbqcVxOWq3iblRofiWdL46exKB2uLP2DO080VkiGYvDhkBUvDRD8tA==" saltValue="tXa/4x02mKNxVKidQmzEWQ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E2B5-6C0B-43BD-9E8A-27427A97B1B0}">
  <dimension ref="A1:E11"/>
  <sheetViews>
    <sheetView workbookViewId="0">
      <selection activeCell="D12" sqref="D12"/>
    </sheetView>
  </sheetViews>
  <sheetFormatPr defaultRowHeight="14.25"/>
  <cols>
    <col min="1" max="1" width="16.86328125" customWidth="1"/>
    <col min="2" max="2" width="20.86328125" customWidth="1"/>
    <col min="3" max="3" width="21" customWidth="1"/>
    <col min="4" max="4" width="15.46484375" customWidth="1"/>
    <col min="5" max="5" width="16.73046875" customWidth="1"/>
  </cols>
  <sheetData>
    <row r="1" spans="1:5" ht="18">
      <c r="A1" s="46" t="s">
        <v>114</v>
      </c>
      <c r="B1" s="46" t="s">
        <v>115</v>
      </c>
      <c r="C1" s="46" t="s">
        <v>124</v>
      </c>
      <c r="D1" s="46" t="s">
        <v>125</v>
      </c>
      <c r="E1" s="45"/>
    </row>
    <row r="2" spans="1:5" ht="18">
      <c r="A2" s="46">
        <v>101</v>
      </c>
      <c r="B2" s="46" t="s">
        <v>119</v>
      </c>
      <c r="C2" s="46">
        <v>34000</v>
      </c>
      <c r="D2" s="46" t="s">
        <v>126</v>
      </c>
      <c r="E2" s="45"/>
    </row>
    <row r="3" spans="1:5" ht="18">
      <c r="A3" s="46">
        <v>102</v>
      </c>
      <c r="B3" s="46" t="s">
        <v>120</v>
      </c>
      <c r="C3" s="46">
        <v>35000</v>
      </c>
      <c r="D3" s="46" t="s">
        <v>127</v>
      </c>
      <c r="E3" s="45"/>
    </row>
    <row r="4" spans="1:5" ht="18">
      <c r="A4" s="46">
        <v>103</v>
      </c>
      <c r="B4" s="46" t="s">
        <v>121</v>
      </c>
      <c r="C4" s="46">
        <v>56000</v>
      </c>
      <c r="D4" s="46" t="s">
        <v>128</v>
      </c>
      <c r="E4" s="45"/>
    </row>
    <row r="5" spans="1:5" ht="18">
      <c r="A5" s="46">
        <v>104</v>
      </c>
      <c r="B5" s="46" t="s">
        <v>122</v>
      </c>
      <c r="C5" s="46">
        <v>45000</v>
      </c>
      <c r="D5" s="46" t="s">
        <v>130</v>
      </c>
      <c r="E5" s="45"/>
    </row>
    <row r="6" spans="1:5" ht="18">
      <c r="A6" s="46">
        <v>105</v>
      </c>
      <c r="B6" s="46" t="s">
        <v>123</v>
      </c>
      <c r="C6" s="46">
        <v>57000</v>
      </c>
      <c r="D6" s="46" t="s">
        <v>129</v>
      </c>
      <c r="E6" s="45"/>
    </row>
    <row r="9" spans="1:5" ht="28.5">
      <c r="A9" s="47" t="s">
        <v>103</v>
      </c>
    </row>
    <row r="10" spans="1:5">
      <c r="A10" s="44" t="s">
        <v>116</v>
      </c>
      <c r="B10" s="44">
        <v>102</v>
      </c>
    </row>
    <row r="11" spans="1:5">
      <c r="A11" s="44" t="s">
        <v>117</v>
      </c>
      <c r="B11" s="44" t="str">
        <f>_xlfn.XLOOKUP(B10,A2:A6,B2:B6,"-")</f>
        <v>CPU</v>
      </c>
    </row>
  </sheetData>
  <sheetProtection algorithmName="SHA-512" hashValue="zU12pLZQNnNi7kdPuCyjWXWshnIKlZMQ65ZteL6VL7Ob3LXpzsiVUnNwYe9tfJ1JMpCjR80goBIWH3RyGB48Og==" saltValue="HmzZQsoGBj+4BvJ4QYrBs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72E4-0B44-4A3C-A537-07C3B5B4183B}">
  <dimension ref="A1:G6"/>
  <sheetViews>
    <sheetView workbookViewId="0">
      <selection activeCell="H6" sqref="H6"/>
    </sheetView>
  </sheetViews>
  <sheetFormatPr defaultRowHeight="14.25"/>
  <cols>
    <col min="1" max="1" width="14.73046875" customWidth="1"/>
    <col min="2" max="2" width="17.6640625" customWidth="1"/>
    <col min="3" max="3" width="15.19921875" customWidth="1"/>
    <col min="4" max="4" width="37.19921875" customWidth="1"/>
    <col min="5" max="5" width="12" customWidth="1"/>
    <col min="7" max="7" width="12.19921875" customWidth="1"/>
  </cols>
  <sheetData>
    <row r="1" spans="1:7">
      <c r="A1" s="48" t="s">
        <v>113</v>
      </c>
      <c r="B1" s="48" t="s">
        <v>131</v>
      </c>
      <c r="C1" s="48" t="s">
        <v>124</v>
      </c>
      <c r="D1" s="48" t="s">
        <v>132</v>
      </c>
      <c r="E1" s="48" t="s">
        <v>140</v>
      </c>
      <c r="F1" s="48" t="s">
        <v>139</v>
      </c>
      <c r="G1" s="48" t="s">
        <v>141</v>
      </c>
    </row>
    <row r="2" spans="1:7">
      <c r="A2" s="48">
        <v>201</v>
      </c>
      <c r="B2" s="48" t="s">
        <v>123</v>
      </c>
      <c r="C2" s="48">
        <v>50000</v>
      </c>
      <c r="D2" s="48" t="s">
        <v>137</v>
      </c>
      <c r="E2" s="66">
        <v>50000</v>
      </c>
      <c r="F2" s="48">
        <v>50000</v>
      </c>
      <c r="G2" s="66">
        <f>_xlfn.XMATCH(F2, C:C, 0)</f>
        <v>2</v>
      </c>
    </row>
    <row r="3" spans="1:7">
      <c r="A3" s="48">
        <v>202</v>
      </c>
      <c r="B3" s="48" t="s">
        <v>133</v>
      </c>
      <c r="C3" s="48">
        <v>56000</v>
      </c>
      <c r="D3" s="48" t="s">
        <v>138</v>
      </c>
      <c r="E3" s="66">
        <v>45000</v>
      </c>
      <c r="F3" s="48">
        <v>76000</v>
      </c>
      <c r="G3" s="66">
        <f t="shared" ref="G3:G6" si="0">_xlfn.XMATCH(F3, C:C, 0)</f>
        <v>5</v>
      </c>
    </row>
    <row r="4" spans="1:7">
      <c r="A4" s="48">
        <v>203</v>
      </c>
      <c r="B4" s="48" t="s">
        <v>134</v>
      </c>
      <c r="C4" s="48">
        <v>78000</v>
      </c>
      <c r="D4" s="48" t="s">
        <v>137</v>
      </c>
      <c r="E4" s="66">
        <v>78000</v>
      </c>
      <c r="F4" s="48">
        <v>78000</v>
      </c>
      <c r="G4" s="66">
        <f t="shared" si="0"/>
        <v>4</v>
      </c>
    </row>
    <row r="5" spans="1:7">
      <c r="A5" s="48">
        <v>204</v>
      </c>
      <c r="B5" s="48" t="s">
        <v>135</v>
      </c>
      <c r="C5" s="48">
        <v>76000</v>
      </c>
      <c r="D5" s="48" t="s">
        <v>137</v>
      </c>
      <c r="E5" s="66">
        <v>65000</v>
      </c>
      <c r="F5" s="48">
        <v>65000</v>
      </c>
      <c r="G5" s="66">
        <f>_xlfn.IFNA(_xlfn.XMATCH(F2, C:C, 0),"not found")</f>
        <v>2</v>
      </c>
    </row>
    <row r="6" spans="1:7">
      <c r="A6" s="48">
        <v>205</v>
      </c>
      <c r="B6" s="48" t="s">
        <v>136</v>
      </c>
      <c r="C6" s="48">
        <v>45000</v>
      </c>
      <c r="D6" s="48" t="s">
        <v>138</v>
      </c>
      <c r="E6" s="66">
        <v>34000</v>
      </c>
      <c r="F6" s="48">
        <v>45000</v>
      </c>
      <c r="G6" s="66">
        <f t="shared" si="0"/>
        <v>6</v>
      </c>
    </row>
  </sheetData>
  <sheetProtection algorithmName="SHA-512" hashValue="rBt43WfIP3BhYdBMrlE3UryPfB1FtQM3BN9qcF+eldvnlk4/VGEQTrXjuAdIadDPODYtfI1DcCzYwCrlVQgm1w==" saltValue="rBChixYQ1jOvcUuT5L9e+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8D4C-74A3-4E33-9D12-939D3E2646EB}">
  <dimension ref="A1:F7"/>
  <sheetViews>
    <sheetView workbookViewId="0">
      <selection activeCell="B17" sqref="B17"/>
    </sheetView>
  </sheetViews>
  <sheetFormatPr defaultRowHeight="14.25"/>
  <cols>
    <col min="1" max="1" width="27.19921875" customWidth="1"/>
    <col min="2" max="2" width="21.796875" customWidth="1"/>
    <col min="3" max="3" width="24" customWidth="1"/>
    <col min="4" max="4" width="21.9296875" customWidth="1"/>
    <col min="5" max="5" width="14.19921875" customWidth="1"/>
    <col min="6" max="6" width="30.6640625" customWidth="1"/>
  </cols>
  <sheetData>
    <row r="1" spans="1:6" ht="22.9">
      <c r="A1" s="57" t="s">
        <v>158</v>
      </c>
      <c r="B1" s="57" t="s">
        <v>159</v>
      </c>
      <c r="C1" s="57" t="s">
        <v>161</v>
      </c>
      <c r="D1" s="57" t="s">
        <v>162</v>
      </c>
      <c r="E1" s="57" t="s">
        <v>160</v>
      </c>
      <c r="F1" s="57" t="s">
        <v>163</v>
      </c>
    </row>
    <row r="2" spans="1:6" ht="20.65">
      <c r="A2" s="58" t="s">
        <v>83</v>
      </c>
      <c r="B2" s="59">
        <v>39356</v>
      </c>
      <c r="C2" s="59">
        <v>46027</v>
      </c>
      <c r="D2" s="59">
        <v>46295</v>
      </c>
      <c r="E2" s="58">
        <f>DATEDIF(B2,D2,"Y")</f>
        <v>18</v>
      </c>
      <c r="F2" s="58">
        <f>D2-C2</f>
        <v>268</v>
      </c>
    </row>
    <row r="3" spans="1:6" ht="20.65">
      <c r="A3" s="58" t="s">
        <v>118</v>
      </c>
      <c r="B3" s="59">
        <v>39056</v>
      </c>
      <c r="C3" s="59">
        <v>46065</v>
      </c>
      <c r="D3" s="59">
        <v>46295</v>
      </c>
      <c r="E3" s="58">
        <f t="shared" ref="E3:E7" si="0">DATEDIF(B3,D3,"Y")</f>
        <v>19</v>
      </c>
      <c r="F3" s="58">
        <f t="shared" ref="F3:F7" si="1">D3-C3</f>
        <v>230</v>
      </c>
    </row>
    <row r="4" spans="1:6" ht="20.65">
      <c r="A4" s="58" t="s">
        <v>85</v>
      </c>
      <c r="B4" s="59">
        <v>29866</v>
      </c>
      <c r="C4" s="59">
        <v>46205</v>
      </c>
      <c r="D4" s="59">
        <v>46295</v>
      </c>
      <c r="E4" s="58">
        <f t="shared" si="0"/>
        <v>44</v>
      </c>
      <c r="F4" s="58">
        <f t="shared" si="1"/>
        <v>90</v>
      </c>
    </row>
    <row r="5" spans="1:6" ht="20.65">
      <c r="A5" s="58" t="s">
        <v>84</v>
      </c>
      <c r="B5" s="59">
        <v>31050</v>
      </c>
      <c r="C5" s="59">
        <v>46026</v>
      </c>
      <c r="D5" s="59">
        <v>46295</v>
      </c>
      <c r="E5" s="58">
        <f t="shared" si="0"/>
        <v>41</v>
      </c>
      <c r="F5" s="58">
        <f t="shared" si="1"/>
        <v>269</v>
      </c>
    </row>
    <row r="6" spans="1:6" ht="20.65">
      <c r="A6" s="58" t="s">
        <v>89</v>
      </c>
      <c r="B6" s="59">
        <v>20376</v>
      </c>
      <c r="C6" s="59">
        <v>46029</v>
      </c>
      <c r="D6" s="59">
        <v>46295</v>
      </c>
      <c r="E6" s="58">
        <f t="shared" si="0"/>
        <v>70</v>
      </c>
      <c r="F6" s="58">
        <f t="shared" si="1"/>
        <v>266</v>
      </c>
    </row>
    <row r="7" spans="1:6" ht="20.65">
      <c r="A7" s="58" t="s">
        <v>86</v>
      </c>
      <c r="B7" s="59">
        <v>41321</v>
      </c>
      <c r="C7" s="59">
        <v>46239</v>
      </c>
      <c r="D7" s="59">
        <v>46295</v>
      </c>
      <c r="E7" s="58">
        <f t="shared" si="0"/>
        <v>13</v>
      </c>
      <c r="F7" s="58">
        <f t="shared" si="1"/>
        <v>56</v>
      </c>
    </row>
  </sheetData>
  <sheetProtection algorithmName="SHA-512" hashValue="CI7BfET+I9Mh9hQXNzU4hLX7l4Xoyr6vnbuo975iyOTFaUUprS3RzF8TLAuqqCTSD3Atp8oFjPdgBjezfMoWpA==" saltValue="hW91Zn06DTUbc6PGG5/oGA==" spinCount="100000" sheet="1" objects="1" scenarios="1"/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1E6D-EB9E-4ABD-811A-5775E860B4CA}">
  <dimension ref="A1:E6"/>
  <sheetViews>
    <sheetView workbookViewId="0">
      <selection activeCell="D3" sqref="D3"/>
    </sheetView>
  </sheetViews>
  <sheetFormatPr defaultRowHeight="14.25"/>
  <cols>
    <col min="1" max="1" width="30.06640625" customWidth="1"/>
    <col min="2" max="2" width="13.53125" customWidth="1"/>
    <col min="3" max="3" width="14.33203125" customWidth="1"/>
    <col min="4" max="4" width="41.9296875" customWidth="1"/>
    <col min="5" max="5" width="27.6640625" customWidth="1"/>
  </cols>
  <sheetData>
    <row r="1" spans="1:5" ht="23.25">
      <c r="A1" s="49" t="s">
        <v>142</v>
      </c>
      <c r="B1" s="49" t="s">
        <v>143</v>
      </c>
      <c r="C1" s="52" t="s">
        <v>145</v>
      </c>
      <c r="D1" s="53" t="s">
        <v>146</v>
      </c>
      <c r="E1" s="53" t="s">
        <v>147</v>
      </c>
    </row>
    <row r="2" spans="1:5" ht="23.25">
      <c r="A2" s="50" t="s">
        <v>33</v>
      </c>
      <c r="B2" s="50">
        <v>50000</v>
      </c>
      <c r="C2" s="52">
        <f ca="1">SUM(INDIRECT("B2:B6"))</f>
        <v>200000</v>
      </c>
      <c r="D2" s="53" t="s">
        <v>173</v>
      </c>
      <c r="E2" s="53" cm="1">
        <f t="array" aca="1" ref="E2" ca="1">INDIRECT(D2)</f>
        <v>40000</v>
      </c>
    </row>
    <row r="3" spans="1:5" ht="22.15">
      <c r="A3" s="50" t="s">
        <v>34</v>
      </c>
      <c r="B3" s="50">
        <v>30000</v>
      </c>
      <c r="C3" s="51">
        <f ca="1">SUM(INDIRECT("B2:B6"))</f>
        <v>200000</v>
      </c>
    </row>
    <row r="4" spans="1:5" ht="22.15">
      <c r="A4" s="50" t="s">
        <v>35</v>
      </c>
      <c r="B4" s="50">
        <v>40000</v>
      </c>
      <c r="C4" s="51">
        <f t="shared" ref="C4:C6" ca="1" si="0">SUM(INDIRECT("B2:B6"))</f>
        <v>200000</v>
      </c>
    </row>
    <row r="5" spans="1:5" ht="22.15">
      <c r="A5" s="50" t="s">
        <v>144</v>
      </c>
      <c r="B5" s="50">
        <v>60000</v>
      </c>
      <c r="C5" s="51">
        <f ca="1">SUM(INDIRECT("B2:B6"))</f>
        <v>200000</v>
      </c>
    </row>
    <row r="6" spans="1:5" ht="22.15">
      <c r="A6" s="50" t="s">
        <v>36</v>
      </c>
      <c r="B6" s="50">
        <v>20000</v>
      </c>
      <c r="C6" s="51">
        <f t="shared" ca="1" si="0"/>
        <v>200000</v>
      </c>
    </row>
  </sheetData>
  <sheetProtection algorithmName="SHA-512" hashValue="KuVu5IhnLABEsFCvUBasn7WAl17yQgbdGUWNgNNvm6VXlxzmHIgkihOGXvHo7DcyUaNLlmPvtH3p1mAYLDY0Uw==" saltValue="whyv62DSdDD5uMrxU4lC0w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7226-ABD5-4F79-92FA-BB9781757FEE}">
  <dimension ref="A1:K20"/>
  <sheetViews>
    <sheetView workbookViewId="0">
      <selection activeCell="C17" sqref="C17"/>
    </sheetView>
  </sheetViews>
  <sheetFormatPr defaultRowHeight="14.25"/>
  <cols>
    <col min="1" max="1" width="14.1328125" customWidth="1"/>
    <col min="2" max="2" width="15.19921875" customWidth="1"/>
    <col min="3" max="3" width="14.19921875" customWidth="1"/>
    <col min="4" max="4" width="10.06640625" customWidth="1"/>
  </cols>
  <sheetData>
    <row r="1" spans="1:6" ht="17.25">
      <c r="A1" s="63" t="s">
        <v>113</v>
      </c>
      <c r="B1" s="63" t="s">
        <v>131</v>
      </c>
      <c r="C1" s="63" t="s">
        <v>124</v>
      </c>
      <c r="D1" s="63" t="s">
        <v>165</v>
      </c>
      <c r="E1" s="63" t="s">
        <v>166</v>
      </c>
      <c r="F1" s="63" t="s">
        <v>167</v>
      </c>
    </row>
    <row r="2" spans="1:6" ht="17.25">
      <c r="A2" s="61">
        <v>1</v>
      </c>
      <c r="B2" s="61" t="s">
        <v>119</v>
      </c>
      <c r="C2" s="61">
        <v>233.58</v>
      </c>
      <c r="D2" s="61">
        <f>ROUND(C2,-2)</f>
        <v>200</v>
      </c>
      <c r="E2" s="61">
        <f>CEILING(C2,100)</f>
        <v>300</v>
      </c>
      <c r="F2" s="61">
        <f>FLOOR(C2,100)</f>
        <v>200</v>
      </c>
    </row>
    <row r="3" spans="1:6" ht="17.25">
      <c r="A3" s="61">
        <v>2</v>
      </c>
      <c r="B3" s="61" t="s">
        <v>123</v>
      </c>
      <c r="C3" s="61">
        <v>456.7</v>
      </c>
      <c r="D3" s="61">
        <f t="shared" ref="D3:D6" si="0">ROUND(C3,-2)</f>
        <v>500</v>
      </c>
      <c r="E3" s="61">
        <f t="shared" ref="E3:E6" si="1">CEILING(C3,100)</f>
        <v>500</v>
      </c>
      <c r="F3" s="61">
        <f t="shared" ref="F3:F6" si="2">FLOOR(C3,100)</f>
        <v>400</v>
      </c>
    </row>
    <row r="4" spans="1:6" ht="17.25">
      <c r="A4" s="61">
        <v>3</v>
      </c>
      <c r="B4" s="61" t="s">
        <v>168</v>
      </c>
      <c r="C4" s="61">
        <v>5437.8</v>
      </c>
      <c r="D4" s="61">
        <f t="shared" si="0"/>
        <v>5400</v>
      </c>
      <c r="E4" s="61">
        <f t="shared" si="1"/>
        <v>5500</v>
      </c>
      <c r="F4" s="61">
        <f t="shared" si="2"/>
        <v>5400</v>
      </c>
    </row>
    <row r="5" spans="1:6" ht="17.25">
      <c r="A5" s="61">
        <v>4</v>
      </c>
      <c r="B5" s="61" t="s">
        <v>164</v>
      </c>
      <c r="C5" s="61">
        <v>43245.875999999997</v>
      </c>
      <c r="D5" s="61">
        <f t="shared" si="0"/>
        <v>43200</v>
      </c>
      <c r="E5" s="61">
        <f t="shared" si="1"/>
        <v>43300</v>
      </c>
      <c r="F5" s="61">
        <f t="shared" si="2"/>
        <v>43200</v>
      </c>
    </row>
    <row r="6" spans="1:6" ht="17.649999999999999" thickBot="1">
      <c r="A6" s="62">
        <v>5</v>
      </c>
      <c r="B6" s="62" t="s">
        <v>133</v>
      </c>
      <c r="C6" s="62">
        <v>54356.87</v>
      </c>
      <c r="D6" s="62">
        <f t="shared" si="0"/>
        <v>54400</v>
      </c>
      <c r="E6" s="62">
        <f t="shared" si="1"/>
        <v>54400</v>
      </c>
      <c r="F6" s="62">
        <f t="shared" si="2"/>
        <v>54300</v>
      </c>
    </row>
    <row r="20" spans="11:11" ht="16.5">
      <c r="K20" s="60"/>
    </row>
  </sheetData>
  <sheetProtection algorithmName="SHA-512" hashValue="Vrh+ZAVV2T8W1L96yG1nkkNvTGAG/AsTO5ZWn1VV43Y966gkxK2AnJsOySWwBybXEoC8GwnIm+Cnq7nvFVBYDQ==" saltValue="L5GYvhRv59pc1zJtjoaxD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573B-CF9F-4FFF-8C6F-02C55868F9B3}">
  <dimension ref="A1:E6"/>
  <sheetViews>
    <sheetView workbookViewId="0">
      <selection activeCell="C25" sqref="C25"/>
    </sheetView>
  </sheetViews>
  <sheetFormatPr defaultRowHeight="14.25"/>
  <cols>
    <col min="1" max="1" width="14.33203125" customWidth="1"/>
    <col min="2" max="2" width="26.3984375" customWidth="1"/>
    <col min="3" max="3" width="14.33203125" customWidth="1"/>
    <col min="4" max="4" width="20.59765625" customWidth="1"/>
  </cols>
  <sheetData>
    <row r="1" spans="1:5" ht="20.25">
      <c r="A1" s="64" t="s">
        <v>169</v>
      </c>
      <c r="B1" s="64" t="s">
        <v>158</v>
      </c>
      <c r="C1" s="64" t="s">
        <v>170</v>
      </c>
      <c r="D1" s="64" t="s">
        <v>171</v>
      </c>
      <c r="E1" s="64"/>
    </row>
    <row r="2" spans="1:5" ht="20.25">
      <c r="A2" s="65">
        <v>201</v>
      </c>
      <c r="B2" s="65" t="s">
        <v>83</v>
      </c>
      <c r="C2" s="65">
        <v>78</v>
      </c>
      <c r="D2" s="65" t="str" cm="1">
        <f t="array" ref="D2:E4">_xlfn._xlws.FILTER(B2:C6,C2:C6&gt;=75)</f>
        <v>VAIDEHI</v>
      </c>
      <c r="E2" s="65">
        <v>78</v>
      </c>
    </row>
    <row r="3" spans="1:5" ht="20.25">
      <c r="A3" s="65">
        <v>202</v>
      </c>
      <c r="B3" s="65" t="s">
        <v>118</v>
      </c>
      <c r="C3" s="65">
        <v>76</v>
      </c>
      <c r="D3" s="65" t="str">
        <v>VEDANT</v>
      </c>
      <c r="E3" s="65">
        <v>76</v>
      </c>
    </row>
    <row r="4" spans="1:5" ht="20.25">
      <c r="A4" s="65">
        <v>203</v>
      </c>
      <c r="B4" s="65" t="s">
        <v>84</v>
      </c>
      <c r="C4" s="65">
        <v>75</v>
      </c>
      <c r="D4" s="65" t="str">
        <v>MEGHA</v>
      </c>
      <c r="E4" s="65">
        <v>75</v>
      </c>
    </row>
    <row r="5" spans="1:5" ht="20.25">
      <c r="A5" s="65">
        <v>204</v>
      </c>
      <c r="B5" s="65" t="s">
        <v>85</v>
      </c>
      <c r="C5" s="65">
        <v>74</v>
      </c>
      <c r="D5" s="65"/>
      <c r="E5" s="65"/>
    </row>
    <row r="6" spans="1:5" ht="20.25">
      <c r="A6" s="65">
        <v>205</v>
      </c>
      <c r="B6" s="65" t="s">
        <v>86</v>
      </c>
      <c r="C6" s="65">
        <v>73</v>
      </c>
      <c r="D6" s="65"/>
      <c r="E6" s="65"/>
    </row>
  </sheetData>
  <sheetProtection algorithmName="SHA-512" hashValue="tXDJxRNHQB2TLLFPsEz4qtxY6CDvZ5vqK0QrTVPu4w89BVvmbgUkVZxeLmn+WQX+cR6GKMO1smpbp5S0jWhrHA==" saltValue="GTPhYyLghNYecvbaQL6mMQ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A30D-47DD-4A4C-AC62-E7BCC22B23B4}">
  <dimension ref="A1:R19"/>
  <sheetViews>
    <sheetView workbookViewId="0">
      <selection activeCell="B6" sqref="B6"/>
    </sheetView>
  </sheetViews>
  <sheetFormatPr defaultRowHeight="14.25"/>
  <cols>
    <col min="1" max="1" width="14.265625" customWidth="1"/>
    <col min="2" max="2" width="11.1328125" bestFit="1" customWidth="1"/>
    <col min="3" max="8" width="9.46484375" bestFit="1" customWidth="1"/>
  </cols>
  <sheetData>
    <row r="1" spans="1:8" ht="19.899999999999999">
      <c r="A1" s="55" t="s">
        <v>148</v>
      </c>
      <c r="B1" s="55" t="s">
        <v>152</v>
      </c>
      <c r="C1" s="55" t="s">
        <v>153</v>
      </c>
      <c r="D1" s="55" t="s">
        <v>149</v>
      </c>
      <c r="E1" s="55" t="s">
        <v>154</v>
      </c>
      <c r="F1" s="55" t="s">
        <v>150</v>
      </c>
      <c r="G1" s="55" t="s">
        <v>155</v>
      </c>
      <c r="H1" s="55" t="s">
        <v>156</v>
      </c>
    </row>
    <row r="2" spans="1:8" ht="19.899999999999999">
      <c r="A2" s="55" t="s">
        <v>157</v>
      </c>
      <c r="B2" s="55">
        <v>11000</v>
      </c>
      <c r="C2" s="55">
        <v>23000</v>
      </c>
      <c r="D2" s="55">
        <v>34000</v>
      </c>
      <c r="E2" s="55">
        <v>78000</v>
      </c>
      <c r="F2" s="55">
        <v>67000</v>
      </c>
      <c r="G2" s="55">
        <v>65000</v>
      </c>
      <c r="H2" s="55">
        <v>56700</v>
      </c>
    </row>
    <row r="3" spans="1:8" ht="19.899999999999999">
      <c r="A3" s="54"/>
      <c r="B3" s="54"/>
      <c r="C3" s="54"/>
      <c r="D3" s="54"/>
      <c r="E3" s="54"/>
      <c r="F3" s="54"/>
      <c r="G3" s="54"/>
      <c r="H3" s="54"/>
    </row>
    <row r="4" spans="1:8" ht="19.899999999999999">
      <c r="A4" s="54"/>
      <c r="B4" s="54"/>
      <c r="C4" s="54"/>
      <c r="D4" s="54"/>
      <c r="E4" s="54"/>
      <c r="F4" s="54"/>
      <c r="G4" s="54"/>
      <c r="H4" s="54"/>
    </row>
    <row r="5" spans="1:8" ht="19.899999999999999">
      <c r="A5" s="56" t="s">
        <v>148</v>
      </c>
      <c r="B5" s="56">
        <v>4</v>
      </c>
      <c r="C5" s="56"/>
      <c r="D5" s="56" cm="1">
        <f t="array" aca="1" ref="D5:G5" ca="1">OFFSET(B2,0,0,1,B5)</f>
        <v>11000</v>
      </c>
      <c r="E5" s="56">
        <f ca="1"/>
        <v>23000</v>
      </c>
      <c r="F5" s="56">
        <f ca="1"/>
        <v>34000</v>
      </c>
      <c r="G5" s="56">
        <f ca="1"/>
        <v>78000</v>
      </c>
      <c r="H5" s="56"/>
    </row>
    <row r="6" spans="1:8" ht="19.899999999999999">
      <c r="A6" s="56" t="s">
        <v>151</v>
      </c>
      <c r="B6" s="56">
        <f ca="1">SUM(OFFSET($B$2,0,0,1,$B$5))</f>
        <v>146000</v>
      </c>
      <c r="C6" s="56"/>
      <c r="D6" s="56"/>
      <c r="E6" s="56"/>
      <c r="F6" s="56"/>
      <c r="G6" s="56"/>
      <c r="H6" s="56"/>
    </row>
    <row r="19" spans="18:18">
      <c r="R19">
        <v>0</v>
      </c>
    </row>
  </sheetData>
  <sheetProtection algorithmName="SHA-512" hashValue="UzxQ3HT8J3SXuPfIM7LtnIJ5fLrdOspMCwYfV36BWvNxMG0m9m1boDBIENr0RYBQ6Y7aolUrt7NgWkwHUmaloQ==" saltValue="tgdBtoyjh/YILZfDaFYKhg==" spinCount="100000" sheet="1" objects="1" scenarios="1"/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75C4-5B25-4720-81A2-898F8C63195F}">
  <dimension ref="A1:K24"/>
  <sheetViews>
    <sheetView workbookViewId="0">
      <selection activeCell="I9" sqref="I9"/>
    </sheetView>
  </sheetViews>
  <sheetFormatPr defaultRowHeight="14.25"/>
  <cols>
    <col min="1" max="1" width="18.6640625" customWidth="1"/>
    <col min="2" max="2" width="24.9296875" customWidth="1"/>
    <col min="3" max="3" width="22.3984375" customWidth="1"/>
    <col min="4" max="4" width="15.59765625" customWidth="1"/>
    <col min="5" max="5" width="25.73046875" customWidth="1"/>
    <col min="6" max="6" width="18.53125" customWidth="1"/>
    <col min="8" max="8" width="14.19921875" customWidth="1"/>
  </cols>
  <sheetData>
    <row r="1" spans="1:9" ht="25.9">
      <c r="A1" s="23" t="s">
        <v>61</v>
      </c>
      <c r="B1" s="23" t="s">
        <v>62</v>
      </c>
      <c r="C1" s="23" t="s">
        <v>63</v>
      </c>
      <c r="D1" s="23" t="s">
        <v>64</v>
      </c>
      <c r="E1" s="23" t="s">
        <v>65</v>
      </c>
      <c r="F1" s="30" t="s">
        <v>104</v>
      </c>
    </row>
    <row r="2" spans="1:9" ht="18">
      <c r="A2" s="28">
        <v>301</v>
      </c>
      <c r="B2" s="28" t="s">
        <v>83</v>
      </c>
      <c r="C2" s="28" t="s">
        <v>68</v>
      </c>
      <c r="D2" s="28">
        <v>50000</v>
      </c>
      <c r="E2" s="38" t="s">
        <v>71</v>
      </c>
      <c r="F2" s="41">
        <v>46023</v>
      </c>
    </row>
    <row r="3" spans="1:9" ht="18">
      <c r="A3" s="28">
        <v>302</v>
      </c>
      <c r="B3" s="28" t="s">
        <v>84</v>
      </c>
      <c r="C3" s="28" t="s">
        <v>67</v>
      </c>
      <c r="D3" s="28">
        <v>34000</v>
      </c>
      <c r="E3" s="38" t="s">
        <v>72</v>
      </c>
      <c r="F3" s="41">
        <v>46024</v>
      </c>
      <c r="G3" s="26"/>
    </row>
    <row r="4" spans="1:9" ht="18">
      <c r="A4" s="28">
        <v>303</v>
      </c>
      <c r="B4" s="28" t="s">
        <v>85</v>
      </c>
      <c r="C4" s="28" t="s">
        <v>69</v>
      </c>
      <c r="D4" s="28">
        <v>45000</v>
      </c>
      <c r="E4" s="38" t="s">
        <v>73</v>
      </c>
      <c r="F4" s="41">
        <v>46025</v>
      </c>
      <c r="G4" s="27"/>
    </row>
    <row r="5" spans="1:9" ht="18">
      <c r="A5" s="28">
        <v>304</v>
      </c>
      <c r="B5" s="28" t="s">
        <v>86</v>
      </c>
      <c r="C5" s="28" t="s">
        <v>67</v>
      </c>
      <c r="D5" s="28">
        <v>45900</v>
      </c>
      <c r="E5" s="38" t="s">
        <v>74</v>
      </c>
      <c r="F5" s="41">
        <v>46026</v>
      </c>
      <c r="G5" s="26"/>
    </row>
    <row r="6" spans="1:9" ht="18">
      <c r="A6" s="28">
        <v>305</v>
      </c>
      <c r="B6" s="28" t="s">
        <v>87</v>
      </c>
      <c r="C6" s="28" t="s">
        <v>67</v>
      </c>
      <c r="D6" s="28">
        <v>34000</v>
      </c>
      <c r="E6" s="38" t="s">
        <v>75</v>
      </c>
      <c r="F6" s="41">
        <v>46027</v>
      </c>
      <c r="G6" s="27"/>
    </row>
    <row r="7" spans="1:9" ht="21">
      <c r="A7" s="28">
        <v>306</v>
      </c>
      <c r="B7" s="28" t="s">
        <v>88</v>
      </c>
      <c r="C7" s="28" t="s">
        <v>66</v>
      </c>
      <c r="D7" s="28">
        <v>32000</v>
      </c>
      <c r="E7" s="38" t="s">
        <v>76</v>
      </c>
      <c r="F7" s="41">
        <v>46028</v>
      </c>
      <c r="G7" s="26"/>
      <c r="H7" s="24" t="s">
        <v>103</v>
      </c>
      <c r="I7" s="24"/>
    </row>
    <row r="8" spans="1:9" ht="21">
      <c r="A8" s="28">
        <v>307</v>
      </c>
      <c r="B8" s="28" t="s">
        <v>89</v>
      </c>
      <c r="C8" s="28" t="s">
        <v>67</v>
      </c>
      <c r="D8" s="28">
        <v>31000</v>
      </c>
      <c r="E8" s="38" t="s">
        <v>77</v>
      </c>
      <c r="F8" s="41">
        <v>46029</v>
      </c>
      <c r="G8" s="27"/>
      <c r="H8" s="25" t="s">
        <v>109</v>
      </c>
      <c r="I8" s="25">
        <v>318</v>
      </c>
    </row>
    <row r="9" spans="1:9" ht="21">
      <c r="A9" s="28">
        <v>308</v>
      </c>
      <c r="B9" s="28" t="s">
        <v>90</v>
      </c>
      <c r="C9" s="28" t="s">
        <v>69</v>
      </c>
      <c r="D9" s="28">
        <v>45000</v>
      </c>
      <c r="E9" s="38" t="s">
        <v>78</v>
      </c>
      <c r="F9" s="41">
        <v>46030</v>
      </c>
      <c r="G9" s="26"/>
      <c r="H9" s="25" t="s">
        <v>64</v>
      </c>
      <c r="I9" s="25">
        <f>_xlfn.XLOOKUP(I8,A2:A21,D2:D21)</f>
        <v>47000</v>
      </c>
    </row>
    <row r="10" spans="1:9" ht="18">
      <c r="A10" s="28">
        <v>309</v>
      </c>
      <c r="B10" s="28" t="s">
        <v>91</v>
      </c>
      <c r="C10" s="28" t="s">
        <v>68</v>
      </c>
      <c r="D10" s="28">
        <v>34000</v>
      </c>
      <c r="E10" s="38" t="s">
        <v>79</v>
      </c>
      <c r="F10" s="41">
        <v>46031</v>
      </c>
      <c r="G10" s="27"/>
    </row>
    <row r="11" spans="1:9" ht="18">
      <c r="A11" s="28">
        <v>310</v>
      </c>
      <c r="B11" s="28" t="s">
        <v>92</v>
      </c>
      <c r="C11" s="28" t="s">
        <v>67</v>
      </c>
      <c r="D11" s="28">
        <v>22000</v>
      </c>
      <c r="E11" s="38" t="s">
        <v>80</v>
      </c>
      <c r="F11" s="41">
        <v>46032</v>
      </c>
      <c r="G11" s="26"/>
    </row>
    <row r="12" spans="1:9" ht="18">
      <c r="A12" s="28">
        <v>311</v>
      </c>
      <c r="B12" s="28" t="s">
        <v>93</v>
      </c>
      <c r="C12" s="28" t="s">
        <v>69</v>
      </c>
      <c r="D12" s="28">
        <v>34500</v>
      </c>
      <c r="E12" s="38" t="s">
        <v>81</v>
      </c>
      <c r="F12" s="41">
        <v>46033</v>
      </c>
      <c r="G12" s="27"/>
      <c r="H12" s="22"/>
    </row>
    <row r="13" spans="1:9" ht="18">
      <c r="A13" s="28">
        <v>312</v>
      </c>
      <c r="B13" s="28" t="s">
        <v>94</v>
      </c>
      <c r="C13" s="28" t="s">
        <v>66</v>
      </c>
      <c r="D13" s="28">
        <v>12000</v>
      </c>
      <c r="E13" s="38" t="s">
        <v>82</v>
      </c>
      <c r="F13" s="41">
        <v>46034</v>
      </c>
      <c r="G13" s="26"/>
    </row>
    <row r="14" spans="1:9" ht="18">
      <c r="A14" s="28">
        <v>313</v>
      </c>
      <c r="B14" s="28" t="s">
        <v>95</v>
      </c>
      <c r="C14" s="28" t="s">
        <v>67</v>
      </c>
      <c r="D14" s="28">
        <v>11000</v>
      </c>
      <c r="E14" s="38" t="s">
        <v>71</v>
      </c>
      <c r="F14" s="41">
        <v>46388</v>
      </c>
      <c r="G14" s="27"/>
    </row>
    <row r="15" spans="1:9" ht="18">
      <c r="A15" s="28">
        <v>314</v>
      </c>
      <c r="B15" s="28" t="s">
        <v>96</v>
      </c>
      <c r="C15" s="28" t="s">
        <v>68</v>
      </c>
      <c r="D15" s="28">
        <v>12000</v>
      </c>
      <c r="E15" s="38" t="s">
        <v>72</v>
      </c>
      <c r="F15" s="41">
        <v>46389</v>
      </c>
      <c r="G15" s="26"/>
    </row>
    <row r="16" spans="1:9" ht="18">
      <c r="A16" s="28">
        <v>315</v>
      </c>
      <c r="B16" s="28" t="s">
        <v>97</v>
      </c>
      <c r="C16" s="28" t="s">
        <v>70</v>
      </c>
      <c r="D16" s="28">
        <v>23400</v>
      </c>
      <c r="E16" s="38" t="s">
        <v>73</v>
      </c>
      <c r="F16" s="41">
        <v>46390</v>
      </c>
      <c r="G16" s="26"/>
    </row>
    <row r="17" spans="1:11" ht="18">
      <c r="A17" s="28">
        <v>316</v>
      </c>
      <c r="B17" s="28" t="s">
        <v>98</v>
      </c>
      <c r="C17" s="28" t="s">
        <v>66</v>
      </c>
      <c r="D17" s="28">
        <v>45000</v>
      </c>
      <c r="E17" s="38" t="s">
        <v>74</v>
      </c>
      <c r="F17" s="41">
        <v>46391</v>
      </c>
      <c r="G17" s="26"/>
      <c r="K17" s="40"/>
    </row>
    <row r="18" spans="1:11" ht="18">
      <c r="A18" s="28">
        <v>317</v>
      </c>
      <c r="B18" s="28" t="s">
        <v>99</v>
      </c>
      <c r="C18" s="28" t="s">
        <v>67</v>
      </c>
      <c r="D18" s="28">
        <v>46000</v>
      </c>
      <c r="E18" s="38" t="s">
        <v>75</v>
      </c>
      <c r="F18" s="41">
        <v>46392</v>
      </c>
      <c r="G18" s="26"/>
    </row>
    <row r="19" spans="1:11" ht="18">
      <c r="A19" s="28">
        <v>318</v>
      </c>
      <c r="B19" s="28" t="s">
        <v>100</v>
      </c>
      <c r="C19" s="28" t="s">
        <v>66</v>
      </c>
      <c r="D19" s="28">
        <v>47000</v>
      </c>
      <c r="E19" s="38" t="s">
        <v>76</v>
      </c>
      <c r="F19" s="41">
        <v>46393</v>
      </c>
      <c r="G19" s="26"/>
    </row>
    <row r="20" spans="1:11" ht="18">
      <c r="A20" s="28">
        <v>319</v>
      </c>
      <c r="B20" s="28" t="s">
        <v>101</v>
      </c>
      <c r="C20" s="28" t="s">
        <v>66</v>
      </c>
      <c r="D20" s="28">
        <v>48000</v>
      </c>
      <c r="E20" s="38" t="s">
        <v>77</v>
      </c>
      <c r="F20" s="41">
        <v>46394</v>
      </c>
      <c r="G20" s="26"/>
    </row>
    <row r="21" spans="1:11" ht="18">
      <c r="A21" s="28">
        <v>320</v>
      </c>
      <c r="B21" s="28" t="s">
        <v>102</v>
      </c>
      <c r="C21" s="28" t="s">
        <v>69</v>
      </c>
      <c r="D21" s="28">
        <v>34200</v>
      </c>
      <c r="E21" s="38" t="s">
        <v>78</v>
      </c>
      <c r="F21" s="41">
        <v>46395</v>
      </c>
      <c r="G21" s="26"/>
    </row>
    <row r="22" spans="1:11" ht="18">
      <c r="A22" s="16"/>
      <c r="B22" s="21"/>
      <c r="C22" s="16"/>
      <c r="D22" s="16"/>
      <c r="E22" s="39"/>
      <c r="F22" s="31"/>
    </row>
    <row r="23" spans="1:11" ht="18">
      <c r="A23" s="16"/>
      <c r="B23" s="21"/>
      <c r="C23" s="16"/>
      <c r="D23" s="16"/>
      <c r="E23" s="39"/>
      <c r="F23" s="16"/>
    </row>
    <row r="24" spans="1:11">
      <c r="B24" s="20"/>
    </row>
  </sheetData>
  <sheetProtection algorithmName="SHA-512" hashValue="WK1HHpxzTiCzWyZjtsTFnx92lzMFJ6Nqvzyza93r01d+ri77mJep3dXu0iBOuoypi7r7KPEplYfRBPfQdbOLzw==" saltValue="P/1l59HQLirUaQ5LtDU4rg==" spinCount="100000" sheet="1" objects="1" scenarios="1"/>
  <phoneticPr fontId="8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97D1-2EE2-4517-A11A-B09AC9637546}">
  <dimension ref="A1:O41"/>
  <sheetViews>
    <sheetView zoomScale="53" workbookViewId="0">
      <selection activeCell="B44" sqref="B44"/>
    </sheetView>
  </sheetViews>
  <sheetFormatPr defaultRowHeight="14.25"/>
  <cols>
    <col min="1" max="1" width="19.33203125" customWidth="1"/>
    <col min="2" max="2" width="24.265625" customWidth="1"/>
    <col min="3" max="3" width="14.796875" customWidth="1"/>
    <col min="4" max="4" width="14.59765625" customWidth="1"/>
    <col min="5" max="5" width="17.6640625" customWidth="1"/>
    <col min="6" max="6" width="16.3984375" customWidth="1"/>
    <col min="7" max="7" width="18.6640625" customWidth="1"/>
    <col min="8" max="8" width="44.9296875" customWidth="1"/>
    <col min="9" max="9" width="15.06640625" customWidth="1"/>
    <col min="15" max="15" width="17.265625" customWidth="1"/>
  </cols>
  <sheetData>
    <row r="1" spans="1:8" ht="22.9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4" t="s">
        <v>27</v>
      </c>
    </row>
    <row r="2" spans="1:8" ht="17.649999999999999">
      <c r="A2" s="2">
        <v>101</v>
      </c>
      <c r="B2" s="3" t="s">
        <v>7</v>
      </c>
      <c r="C2" s="3">
        <v>90</v>
      </c>
      <c r="D2" s="3">
        <v>100</v>
      </c>
      <c r="E2" s="4">
        <v>95</v>
      </c>
      <c r="F2" s="3" t="str">
        <f>IF(E2&gt;=90,"A",IF(E2&gt;=80,"B",IF(E2&gt;=70,"C",IF(E2&gt;=60,"D",IF(E2&gt;=50,"E",IF(E2&gt;=40,"F","Fail"))))))</f>
        <v>A</v>
      </c>
      <c r="G2" s="3" t="str">
        <f>IF(E2&gt;80,"Yes","No")</f>
        <v>Yes</v>
      </c>
      <c r="H2" s="5" t="str">
        <f>IF(AND(C2&gt;80,D2&gt;80),"OK","NOT OK")</f>
        <v>OK</v>
      </c>
    </row>
    <row r="3" spans="1:8" ht="17.649999999999999">
      <c r="A3" s="2">
        <v>102</v>
      </c>
      <c r="B3" s="3" t="s">
        <v>8</v>
      </c>
      <c r="C3" s="3">
        <v>90</v>
      </c>
      <c r="D3" s="3">
        <v>89</v>
      </c>
      <c r="E3" s="4">
        <f>AVERAGE(C3:D3)</f>
        <v>89.5</v>
      </c>
      <c r="F3" s="3" t="str">
        <f t="shared" ref="F3:F21" si="0">IF(E3&gt;=90,"A",IF(E3&gt;=80,"B",IF(E3&gt;=70,"C",IF(E3&gt;=60,"D",IF(E3&gt;=50,"E",IF(E3&gt;=40,"F","Fail"))))))</f>
        <v>B</v>
      </c>
      <c r="G3" s="3" t="str">
        <f t="shared" ref="G3:G21" si="1">IF(E3&gt;80,"Yes","No")</f>
        <v>Yes</v>
      </c>
      <c r="H3" s="5" t="str">
        <f t="shared" ref="H3:H21" si="2">IF(AND(C3&gt;80,D3&gt;80),"OK","NOT OK")</f>
        <v>OK</v>
      </c>
    </row>
    <row r="4" spans="1:8" ht="17.649999999999999">
      <c r="A4" s="2">
        <v>103</v>
      </c>
      <c r="B4" s="3" t="s">
        <v>9</v>
      </c>
      <c r="C4" s="3">
        <v>86</v>
      </c>
      <c r="D4" s="3">
        <v>69</v>
      </c>
      <c r="E4" s="4">
        <f t="shared" ref="E4:E21" si="3">AVERAGE(C4:D4)</f>
        <v>77.5</v>
      </c>
      <c r="F4" s="3" t="str">
        <f t="shared" si="0"/>
        <v>C</v>
      </c>
      <c r="G4" s="3" t="str">
        <f t="shared" si="1"/>
        <v>No</v>
      </c>
      <c r="H4" s="5" t="str">
        <f t="shared" si="2"/>
        <v>NOT OK</v>
      </c>
    </row>
    <row r="5" spans="1:8" ht="17.649999999999999">
      <c r="A5" s="2">
        <v>104</v>
      </c>
      <c r="B5" s="3" t="s">
        <v>10</v>
      </c>
      <c r="C5" s="3">
        <v>88</v>
      </c>
      <c r="D5" s="3">
        <v>70</v>
      </c>
      <c r="E5" s="4">
        <f t="shared" si="3"/>
        <v>79</v>
      </c>
      <c r="F5" s="3" t="str">
        <f t="shared" si="0"/>
        <v>C</v>
      </c>
      <c r="G5" s="3" t="str">
        <f t="shared" si="1"/>
        <v>No</v>
      </c>
      <c r="H5" s="5" t="str">
        <f t="shared" si="2"/>
        <v>NOT OK</v>
      </c>
    </row>
    <row r="6" spans="1:8" ht="17.649999999999999">
      <c r="A6" s="2">
        <v>105</v>
      </c>
      <c r="B6" s="3" t="s">
        <v>26</v>
      </c>
      <c r="C6" s="3">
        <v>99</v>
      </c>
      <c r="D6" s="3">
        <v>90</v>
      </c>
      <c r="E6" s="4">
        <f t="shared" si="3"/>
        <v>94.5</v>
      </c>
      <c r="F6" s="3" t="str">
        <f t="shared" si="0"/>
        <v>A</v>
      </c>
      <c r="G6" s="3" t="str">
        <f t="shared" si="1"/>
        <v>Yes</v>
      </c>
      <c r="H6" s="5" t="str">
        <f t="shared" si="2"/>
        <v>OK</v>
      </c>
    </row>
    <row r="7" spans="1:8" ht="17.649999999999999">
      <c r="A7" s="2">
        <v>106</v>
      </c>
      <c r="B7" s="3" t="s">
        <v>11</v>
      </c>
      <c r="C7" s="3">
        <v>80</v>
      </c>
      <c r="D7" s="3">
        <v>90</v>
      </c>
      <c r="E7" s="4">
        <f t="shared" si="3"/>
        <v>85</v>
      </c>
      <c r="F7" s="3" t="str">
        <f t="shared" si="0"/>
        <v>B</v>
      </c>
      <c r="G7" s="3" t="str">
        <f t="shared" si="1"/>
        <v>Yes</v>
      </c>
      <c r="H7" s="5" t="str">
        <f t="shared" si="2"/>
        <v>NOT OK</v>
      </c>
    </row>
    <row r="8" spans="1:8" ht="17.649999999999999">
      <c r="A8" s="2">
        <v>107</v>
      </c>
      <c r="B8" s="3" t="s">
        <v>12</v>
      </c>
      <c r="C8" s="3">
        <v>89</v>
      </c>
      <c r="D8" s="3">
        <v>90</v>
      </c>
      <c r="E8" s="4">
        <f t="shared" si="3"/>
        <v>89.5</v>
      </c>
      <c r="F8" s="3" t="str">
        <f t="shared" si="0"/>
        <v>B</v>
      </c>
      <c r="G8" s="3" t="str">
        <f t="shared" si="1"/>
        <v>Yes</v>
      </c>
      <c r="H8" s="5" t="str">
        <f t="shared" si="2"/>
        <v>OK</v>
      </c>
    </row>
    <row r="9" spans="1:8" ht="17.649999999999999">
      <c r="A9" s="2">
        <v>108</v>
      </c>
      <c r="B9" s="3" t="s">
        <v>13</v>
      </c>
      <c r="C9" s="3">
        <v>90</v>
      </c>
      <c r="D9" s="3">
        <v>95</v>
      </c>
      <c r="E9" s="4">
        <f t="shared" si="3"/>
        <v>92.5</v>
      </c>
      <c r="F9" s="3" t="str">
        <f t="shared" si="0"/>
        <v>A</v>
      </c>
      <c r="G9" s="3" t="str">
        <f t="shared" si="1"/>
        <v>Yes</v>
      </c>
      <c r="H9" s="5" t="str">
        <f t="shared" si="2"/>
        <v>OK</v>
      </c>
    </row>
    <row r="10" spans="1:8" ht="17.649999999999999">
      <c r="A10" s="2">
        <v>109</v>
      </c>
      <c r="B10" s="3" t="s">
        <v>14</v>
      </c>
      <c r="C10" s="3">
        <v>91</v>
      </c>
      <c r="D10" s="3">
        <v>85</v>
      </c>
      <c r="E10" s="4">
        <f t="shared" si="3"/>
        <v>88</v>
      </c>
      <c r="F10" s="3" t="str">
        <f t="shared" si="0"/>
        <v>B</v>
      </c>
      <c r="G10" s="3" t="str">
        <f t="shared" si="1"/>
        <v>Yes</v>
      </c>
      <c r="H10" s="5" t="str">
        <f t="shared" si="2"/>
        <v>OK</v>
      </c>
    </row>
    <row r="11" spans="1:8" ht="17.649999999999999">
      <c r="A11" s="2">
        <v>110</v>
      </c>
      <c r="B11" s="3" t="s">
        <v>15</v>
      </c>
      <c r="C11" s="10">
        <v>36</v>
      </c>
      <c r="D11" s="3">
        <v>52</v>
      </c>
      <c r="E11" s="4">
        <f t="shared" si="3"/>
        <v>44</v>
      </c>
      <c r="F11" s="10" t="str">
        <f>IF(E110&gt;=90,"A",IF(E110&gt;=80,"B",IF(E110&gt;=70,"C",IF(E110&gt;=60,"D",IF(E110&gt;=50,"E","Fail")))))</f>
        <v>Fail</v>
      </c>
      <c r="G11" s="3" t="str">
        <f t="shared" si="1"/>
        <v>No</v>
      </c>
      <c r="H11" s="5" t="str">
        <f t="shared" si="2"/>
        <v>NOT OK</v>
      </c>
    </row>
    <row r="12" spans="1:8" ht="17.649999999999999">
      <c r="A12" s="2">
        <v>111</v>
      </c>
      <c r="B12" s="3" t="s">
        <v>16</v>
      </c>
      <c r="C12" s="3">
        <v>100</v>
      </c>
      <c r="D12" s="3">
        <v>97</v>
      </c>
      <c r="E12" s="4">
        <f t="shared" si="3"/>
        <v>98.5</v>
      </c>
      <c r="F12" s="3" t="str">
        <f t="shared" si="0"/>
        <v>A</v>
      </c>
      <c r="G12" s="3" t="str">
        <f t="shared" si="1"/>
        <v>Yes</v>
      </c>
      <c r="H12" s="5" t="str">
        <f t="shared" si="2"/>
        <v>OK</v>
      </c>
    </row>
    <row r="13" spans="1:8" ht="17.649999999999999">
      <c r="A13" s="2">
        <v>112</v>
      </c>
      <c r="B13" s="3" t="s">
        <v>17</v>
      </c>
      <c r="C13" s="10">
        <v>23</v>
      </c>
      <c r="D13" s="3">
        <v>54</v>
      </c>
      <c r="E13" s="4">
        <f t="shared" si="3"/>
        <v>38.5</v>
      </c>
      <c r="F13" s="10" t="str">
        <f t="shared" si="0"/>
        <v>Fail</v>
      </c>
      <c r="G13" s="3" t="str">
        <f t="shared" si="1"/>
        <v>No</v>
      </c>
      <c r="H13" s="5" t="str">
        <f t="shared" si="2"/>
        <v>NOT OK</v>
      </c>
    </row>
    <row r="14" spans="1:8" ht="17.649999999999999">
      <c r="A14" s="2">
        <v>113</v>
      </c>
      <c r="B14" s="3" t="s">
        <v>18</v>
      </c>
      <c r="C14" s="3">
        <v>97</v>
      </c>
      <c r="D14" s="3">
        <v>89</v>
      </c>
      <c r="E14" s="4">
        <f t="shared" si="3"/>
        <v>93</v>
      </c>
      <c r="F14" s="3" t="str">
        <f t="shared" si="0"/>
        <v>A</v>
      </c>
      <c r="G14" s="3" t="str">
        <f t="shared" si="1"/>
        <v>Yes</v>
      </c>
      <c r="H14" s="5" t="str">
        <f t="shared" si="2"/>
        <v>OK</v>
      </c>
    </row>
    <row r="15" spans="1:8" ht="17.649999999999999">
      <c r="A15" s="2">
        <v>114</v>
      </c>
      <c r="B15" s="3" t="s">
        <v>19</v>
      </c>
      <c r="C15" s="3">
        <v>95</v>
      </c>
      <c r="D15" s="3">
        <v>85</v>
      </c>
      <c r="E15" s="4">
        <f t="shared" si="3"/>
        <v>90</v>
      </c>
      <c r="F15" s="3" t="str">
        <f t="shared" si="0"/>
        <v>A</v>
      </c>
      <c r="G15" s="3" t="str">
        <f t="shared" si="1"/>
        <v>Yes</v>
      </c>
      <c r="H15" s="5" t="str">
        <f t="shared" si="2"/>
        <v>OK</v>
      </c>
    </row>
    <row r="16" spans="1:8" ht="17.649999999999999">
      <c r="A16" s="2">
        <v>115</v>
      </c>
      <c r="B16" s="3" t="s">
        <v>20</v>
      </c>
      <c r="C16" s="3">
        <v>98</v>
      </c>
      <c r="D16" s="3">
        <v>97</v>
      </c>
      <c r="E16" s="4">
        <f t="shared" si="3"/>
        <v>97.5</v>
      </c>
      <c r="F16" s="3" t="str">
        <f t="shared" si="0"/>
        <v>A</v>
      </c>
      <c r="G16" s="3" t="str">
        <f t="shared" si="1"/>
        <v>Yes</v>
      </c>
      <c r="H16" s="5" t="str">
        <f t="shared" si="2"/>
        <v>OK</v>
      </c>
    </row>
    <row r="17" spans="1:15" ht="17.649999999999999">
      <c r="A17" s="2">
        <v>116</v>
      </c>
      <c r="B17" s="3" t="s">
        <v>21</v>
      </c>
      <c r="C17" s="3">
        <v>47</v>
      </c>
      <c r="D17" s="3">
        <v>58</v>
      </c>
      <c r="E17" s="4">
        <f t="shared" si="3"/>
        <v>52.5</v>
      </c>
      <c r="F17" s="3" t="str">
        <f t="shared" si="0"/>
        <v>E</v>
      </c>
      <c r="G17" s="3" t="str">
        <f t="shared" si="1"/>
        <v>No</v>
      </c>
      <c r="H17" s="5" t="str">
        <f t="shared" si="2"/>
        <v>NOT OK</v>
      </c>
    </row>
    <row r="18" spans="1:15" ht="17.649999999999999">
      <c r="A18" s="2">
        <v>117</v>
      </c>
      <c r="B18" s="3" t="s">
        <v>22</v>
      </c>
      <c r="C18" s="3">
        <v>90</v>
      </c>
      <c r="D18" s="3">
        <v>89</v>
      </c>
      <c r="E18" s="4">
        <f t="shared" si="3"/>
        <v>89.5</v>
      </c>
      <c r="F18" s="3" t="str">
        <f t="shared" si="0"/>
        <v>B</v>
      </c>
      <c r="G18" s="3" t="str">
        <f t="shared" si="1"/>
        <v>Yes</v>
      </c>
      <c r="H18" s="5" t="str">
        <f t="shared" si="2"/>
        <v>OK</v>
      </c>
    </row>
    <row r="19" spans="1:15" ht="17.649999999999999">
      <c r="A19" s="2">
        <v>118</v>
      </c>
      <c r="B19" s="3" t="s">
        <v>23</v>
      </c>
      <c r="C19" s="3">
        <v>94</v>
      </c>
      <c r="D19" s="3">
        <v>96</v>
      </c>
      <c r="E19" s="4">
        <f t="shared" si="3"/>
        <v>95</v>
      </c>
      <c r="F19" s="3" t="str">
        <f t="shared" si="0"/>
        <v>A</v>
      </c>
      <c r="G19" s="3" t="str">
        <f t="shared" si="1"/>
        <v>Yes</v>
      </c>
      <c r="H19" s="5" t="str">
        <f t="shared" si="2"/>
        <v>OK</v>
      </c>
    </row>
    <row r="20" spans="1:15" ht="17.649999999999999">
      <c r="A20" s="2">
        <v>119</v>
      </c>
      <c r="B20" s="3" t="s">
        <v>24</v>
      </c>
      <c r="C20" s="3">
        <v>98</v>
      </c>
      <c r="D20" s="3">
        <v>80</v>
      </c>
      <c r="E20" s="4">
        <f t="shared" si="3"/>
        <v>89</v>
      </c>
      <c r="F20" s="3" t="str">
        <f t="shared" si="0"/>
        <v>B</v>
      </c>
      <c r="G20" s="3" t="str">
        <f t="shared" si="1"/>
        <v>Yes</v>
      </c>
      <c r="H20" s="5" t="str">
        <f t="shared" si="2"/>
        <v>NOT OK</v>
      </c>
    </row>
    <row r="21" spans="1:15" ht="17.649999999999999">
      <c r="A21" s="6">
        <v>120</v>
      </c>
      <c r="B21" s="7" t="s">
        <v>25</v>
      </c>
      <c r="C21" s="7">
        <v>89</v>
      </c>
      <c r="D21" s="7">
        <v>98</v>
      </c>
      <c r="E21" s="8">
        <f t="shared" si="3"/>
        <v>93.5</v>
      </c>
      <c r="F21" s="7" t="str">
        <f t="shared" si="0"/>
        <v>A</v>
      </c>
      <c r="G21" s="7" t="str">
        <f t="shared" si="1"/>
        <v>Yes</v>
      </c>
      <c r="H21" s="9" t="str">
        <f t="shared" si="2"/>
        <v>OK</v>
      </c>
    </row>
    <row r="22" spans="1:15">
      <c r="A22" s="1"/>
      <c r="B22" s="1"/>
      <c r="F22" s="1"/>
      <c r="G22" s="1"/>
      <c r="H22" s="1"/>
    </row>
    <row r="23" spans="1:15">
      <c r="A23" s="1"/>
      <c r="B23" s="1"/>
    </row>
    <row r="24" spans="1:15">
      <c r="B24" s="1"/>
    </row>
    <row r="25" spans="1:15" ht="25.5">
      <c r="F25" s="35" t="s">
        <v>106</v>
      </c>
      <c r="G25" s="36" t="s">
        <v>107</v>
      </c>
      <c r="H25" s="35" t="s">
        <v>108</v>
      </c>
      <c r="I25" s="36"/>
      <c r="J25" s="36"/>
      <c r="K25" s="36"/>
      <c r="L25" s="36"/>
      <c r="M25" s="36"/>
      <c r="N25" s="36"/>
      <c r="O25" s="36"/>
    </row>
    <row r="26" spans="1:15" ht="25.5">
      <c r="F26" s="35">
        <f>COUNTIFS(Table1[Score],"&gt;60")</f>
        <v>17</v>
      </c>
      <c r="G26" s="36">
        <f>AVERAGEIFS(Table1[Score],Table1[Score],"&gt;60")</f>
        <v>90.382352941176464</v>
      </c>
      <c r="H26" s="37" cm="1">
        <f t="array" ref="H26:O40">_xlfn._xlws.FILTER(Table1[],Table1[Score]&gt;80)</f>
        <v>101</v>
      </c>
      <c r="I26" s="37" t="str">
        <v>Vaidehi</v>
      </c>
      <c r="J26" s="37">
        <v>90</v>
      </c>
      <c r="K26" s="37">
        <v>100</v>
      </c>
      <c r="L26" s="37">
        <v>95</v>
      </c>
      <c r="M26" s="37" t="str">
        <v>A</v>
      </c>
      <c r="N26" s="37" t="str">
        <v>Yes</v>
      </c>
      <c r="O26" s="37" t="str">
        <v>OK</v>
      </c>
    </row>
    <row r="27" spans="1:15" ht="19.899999999999999">
      <c r="F27" s="16"/>
      <c r="G27" s="16"/>
      <c r="H27" s="37">
        <v>102</v>
      </c>
      <c r="I27" s="37" t="str">
        <v>Megha</v>
      </c>
      <c r="J27" s="37">
        <v>90</v>
      </c>
      <c r="K27" s="37">
        <v>89</v>
      </c>
      <c r="L27" s="37">
        <v>89.5</v>
      </c>
      <c r="M27" s="37" t="str">
        <v>B</v>
      </c>
      <c r="N27" s="37" t="str">
        <v>Yes</v>
      </c>
      <c r="O27" s="37" t="str">
        <v>OK</v>
      </c>
    </row>
    <row r="28" spans="1:15" ht="19.899999999999999">
      <c r="F28" s="16"/>
      <c r="G28" s="16"/>
      <c r="H28" s="37">
        <v>105</v>
      </c>
      <c r="I28" s="37" t="str">
        <v>satya</v>
      </c>
      <c r="J28" s="37">
        <v>99</v>
      </c>
      <c r="K28" s="37">
        <v>90</v>
      </c>
      <c r="L28" s="37">
        <v>94.5</v>
      </c>
      <c r="M28" s="37" t="str">
        <v>A</v>
      </c>
      <c r="N28" s="37" t="str">
        <v>Yes</v>
      </c>
      <c r="O28" s="37" t="str">
        <v>OK</v>
      </c>
    </row>
    <row r="29" spans="1:15" ht="19.899999999999999">
      <c r="F29" s="16"/>
      <c r="G29" s="16"/>
      <c r="H29" s="37">
        <v>106</v>
      </c>
      <c r="I29" s="37" t="str">
        <v>Ranjan</v>
      </c>
      <c r="J29" s="37">
        <v>80</v>
      </c>
      <c r="K29" s="37">
        <v>90</v>
      </c>
      <c r="L29" s="37">
        <v>85</v>
      </c>
      <c r="M29" s="37" t="str">
        <v>B</v>
      </c>
      <c r="N29" s="37" t="str">
        <v>Yes</v>
      </c>
      <c r="O29" s="37" t="str">
        <v>NOT OK</v>
      </c>
    </row>
    <row r="30" spans="1:15" ht="19.899999999999999">
      <c r="F30" s="16"/>
      <c r="G30" s="16"/>
      <c r="H30" s="37">
        <v>107</v>
      </c>
      <c r="I30" s="37" t="str">
        <v>Dipu</v>
      </c>
      <c r="J30" s="37">
        <v>89</v>
      </c>
      <c r="K30" s="37">
        <v>90</v>
      </c>
      <c r="L30" s="37">
        <v>89.5</v>
      </c>
      <c r="M30" s="37" t="str">
        <v>B</v>
      </c>
      <c r="N30" s="37" t="str">
        <v>Yes</v>
      </c>
      <c r="O30" s="37" t="str">
        <v>OK</v>
      </c>
    </row>
    <row r="31" spans="1:15" ht="19.899999999999999">
      <c r="F31" s="16"/>
      <c r="G31" s="16"/>
      <c r="H31" s="37">
        <v>108</v>
      </c>
      <c r="I31" s="37" t="str">
        <v>Parul</v>
      </c>
      <c r="J31" s="37">
        <v>90</v>
      </c>
      <c r="K31" s="37">
        <v>95</v>
      </c>
      <c r="L31" s="37">
        <v>92.5</v>
      </c>
      <c r="M31" s="37" t="str">
        <v>A</v>
      </c>
      <c r="N31" s="37" t="str">
        <v>Yes</v>
      </c>
      <c r="O31" s="37" t="str">
        <v>OK</v>
      </c>
    </row>
    <row r="32" spans="1:15" ht="19.899999999999999">
      <c r="F32" s="16"/>
      <c r="G32" s="16"/>
      <c r="H32" s="37">
        <v>109</v>
      </c>
      <c r="I32" s="37" t="str">
        <v>Bhumi</v>
      </c>
      <c r="J32" s="37">
        <v>91</v>
      </c>
      <c r="K32" s="37">
        <v>85</v>
      </c>
      <c r="L32" s="37">
        <v>88</v>
      </c>
      <c r="M32" s="37" t="str">
        <v>B</v>
      </c>
      <c r="N32" s="37" t="str">
        <v>Yes</v>
      </c>
      <c r="O32" s="37" t="str">
        <v>OK</v>
      </c>
    </row>
    <row r="33" spans="6:15" ht="19.899999999999999">
      <c r="F33" s="16"/>
      <c r="G33" s="16"/>
      <c r="H33" s="37">
        <v>111</v>
      </c>
      <c r="I33" s="37" t="str">
        <v>Prayag</v>
      </c>
      <c r="J33" s="37">
        <v>100</v>
      </c>
      <c r="K33" s="37">
        <v>97</v>
      </c>
      <c r="L33" s="37">
        <v>98.5</v>
      </c>
      <c r="M33" s="37" t="str">
        <v>A</v>
      </c>
      <c r="N33" s="37" t="str">
        <v>Yes</v>
      </c>
      <c r="O33" s="37" t="str">
        <v>OK</v>
      </c>
    </row>
    <row r="34" spans="6:15" ht="19.899999999999999">
      <c r="F34" s="16"/>
      <c r="G34" s="16"/>
      <c r="H34" s="37">
        <v>113</v>
      </c>
      <c r="I34" s="37" t="str">
        <v>Vidisha</v>
      </c>
      <c r="J34" s="37">
        <v>97</v>
      </c>
      <c r="K34" s="37">
        <v>89</v>
      </c>
      <c r="L34" s="37">
        <v>93</v>
      </c>
      <c r="M34" s="37" t="str">
        <v>A</v>
      </c>
      <c r="N34" s="37" t="str">
        <v>Yes</v>
      </c>
      <c r="O34" s="37" t="str">
        <v>OK</v>
      </c>
    </row>
    <row r="35" spans="6:15" ht="19.899999999999999">
      <c r="F35" s="16"/>
      <c r="G35" s="16"/>
      <c r="H35" s="37">
        <v>114</v>
      </c>
      <c r="I35" s="37" t="str">
        <v>Dhruvisha</v>
      </c>
      <c r="J35" s="37">
        <v>95</v>
      </c>
      <c r="K35" s="37">
        <v>85</v>
      </c>
      <c r="L35" s="37">
        <v>90</v>
      </c>
      <c r="M35" s="37" t="str">
        <v>A</v>
      </c>
      <c r="N35" s="37" t="str">
        <v>Yes</v>
      </c>
      <c r="O35" s="37" t="str">
        <v>OK</v>
      </c>
    </row>
    <row r="36" spans="6:15" ht="19.899999999999999">
      <c r="F36" s="16"/>
      <c r="G36" s="16"/>
      <c r="H36" s="37">
        <v>115</v>
      </c>
      <c r="I36" s="37" t="str">
        <v>Pari</v>
      </c>
      <c r="J36" s="37">
        <v>98</v>
      </c>
      <c r="K36" s="37">
        <v>97</v>
      </c>
      <c r="L36" s="37">
        <v>97.5</v>
      </c>
      <c r="M36" s="37" t="str">
        <v>A</v>
      </c>
      <c r="N36" s="37" t="str">
        <v>Yes</v>
      </c>
      <c r="O36" s="37" t="str">
        <v>OK</v>
      </c>
    </row>
    <row r="37" spans="6:15" ht="19.899999999999999">
      <c r="F37" s="16"/>
      <c r="G37" s="16"/>
      <c r="H37" s="37">
        <v>117</v>
      </c>
      <c r="I37" s="37" t="str">
        <v>Pratham</v>
      </c>
      <c r="J37" s="37">
        <v>90</v>
      </c>
      <c r="K37" s="37">
        <v>89</v>
      </c>
      <c r="L37" s="37">
        <v>89.5</v>
      </c>
      <c r="M37" s="37" t="str">
        <v>B</v>
      </c>
      <c r="N37" s="37" t="str">
        <v>Yes</v>
      </c>
      <c r="O37" s="37" t="str">
        <v>OK</v>
      </c>
    </row>
    <row r="38" spans="6:15" ht="19.899999999999999">
      <c r="F38" s="16"/>
      <c r="G38" s="16"/>
      <c r="H38" s="37">
        <v>118</v>
      </c>
      <c r="I38" s="37" t="str">
        <v>Omkar</v>
      </c>
      <c r="J38" s="37">
        <v>94</v>
      </c>
      <c r="K38" s="37">
        <v>96</v>
      </c>
      <c r="L38" s="37">
        <v>95</v>
      </c>
      <c r="M38" s="37" t="str">
        <v>A</v>
      </c>
      <c r="N38" s="37" t="str">
        <v>Yes</v>
      </c>
      <c r="O38" s="37" t="str">
        <v>OK</v>
      </c>
    </row>
    <row r="39" spans="6:15" ht="19.899999999999999">
      <c r="F39" s="16"/>
      <c r="G39" s="16"/>
      <c r="H39" s="37">
        <v>119</v>
      </c>
      <c r="I39" s="37" t="str">
        <v>Kmakshi</v>
      </c>
      <c r="J39" s="37">
        <v>98</v>
      </c>
      <c r="K39" s="37">
        <v>80</v>
      </c>
      <c r="L39" s="37">
        <v>89</v>
      </c>
      <c r="M39" s="37" t="str">
        <v>B</v>
      </c>
      <c r="N39" s="37" t="str">
        <v>Yes</v>
      </c>
      <c r="O39" s="37" t="str">
        <v>NOT OK</v>
      </c>
    </row>
    <row r="40" spans="6:15" ht="19.899999999999999">
      <c r="F40" s="16"/>
      <c r="G40" s="16"/>
      <c r="H40" s="37">
        <v>120</v>
      </c>
      <c r="I40" s="37" t="str">
        <v>Swara</v>
      </c>
      <c r="J40" s="37">
        <v>89</v>
      </c>
      <c r="K40" s="37">
        <v>98</v>
      </c>
      <c r="L40" s="37">
        <v>93.5</v>
      </c>
      <c r="M40" s="37" t="str">
        <v>A</v>
      </c>
      <c r="N40" s="37" t="str">
        <v>Yes</v>
      </c>
      <c r="O40" s="37" t="str">
        <v>OK</v>
      </c>
    </row>
    <row r="41" spans="6:15" ht="19.899999999999999">
      <c r="H41" s="34"/>
      <c r="I41" s="34"/>
      <c r="J41" s="34"/>
      <c r="K41" s="34"/>
      <c r="L41" s="34"/>
      <c r="M41" s="34"/>
      <c r="N41" s="34"/>
      <c r="O41" s="34"/>
    </row>
  </sheetData>
  <sheetProtection algorithmName="SHA-512" hashValue="SteDfQ9jwNo4BK1dkMoWKBhKfzzE2ttgTRPa1V7PekGj1Ca3tpqLf36XF9+zpVrn/Rk553KAVUIWUVO3LckA0w==" saltValue="c34PvJIRhsMnPSUnWJEKxA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 Data</vt:lpstr>
      <vt:lpstr>XLOOKUP</vt:lpstr>
      <vt:lpstr>XMATCH</vt:lpstr>
      <vt:lpstr>DATE&amp;TIME</vt:lpstr>
      <vt:lpstr>INDIRECT</vt:lpstr>
      <vt:lpstr>MATH</vt:lpstr>
      <vt:lpstr>FILTER</vt:lpstr>
      <vt:lpstr>OFFSET RANGE</vt:lpstr>
      <vt:lpstr>Employee Data</vt:lpstr>
      <vt:lpstr>Students 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Vyas</dc:creator>
  <cp:lastModifiedBy>Rahul Jodhani</cp:lastModifiedBy>
  <dcterms:created xsi:type="dcterms:W3CDTF">2026-09-30T15:34:50Z</dcterms:created>
  <dcterms:modified xsi:type="dcterms:W3CDTF">2026-10-04T06:41:53Z</dcterms:modified>
</cp:coreProperties>
</file>